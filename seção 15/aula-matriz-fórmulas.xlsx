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5\"/>
    </mc:Choice>
  </mc:AlternateContent>
  <xr:revisionPtr revIDLastSave="0" documentId="13_ncr:1_{57FC9ABC-E2D7-44E5-B83F-1510A18B50B5}" xr6:coauthVersionLast="47" xr6:coauthVersionMax="47" xr10:uidLastSave="{00000000-0000-0000-0000-000000000000}"/>
  <bookViews>
    <workbookView xWindow="-120" yWindow="-120" windowWidth="20730" windowHeight="11160" xr2:uid="{13E73B9B-6B48-4501-81FC-C2828A72E9F4}"/>
  </bookViews>
  <sheets>
    <sheet name="Fórmulas" sheetId="3" r:id="rId1"/>
    <sheet name="Fórmulas Fin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 a="1"/>
  <c r="C23" i="3" s="1"/>
  <c r="C21" i="3" a="1"/>
  <c r="C21" i="3" s="1"/>
  <c r="F19" i="3"/>
  <c r="G6" i="3" a="1"/>
  <c r="G6" i="3" s="1"/>
  <c r="F7" i="3"/>
  <c r="F8" i="3"/>
  <c r="F9" i="3"/>
  <c r="F10" i="3"/>
  <c r="F11" i="3"/>
  <c r="F12" i="3"/>
  <c r="F13" i="3"/>
  <c r="F14" i="3"/>
  <c r="F15" i="3"/>
  <c r="F16" i="3"/>
  <c r="F17" i="3"/>
  <c r="F18" i="3"/>
  <c r="F6" i="3"/>
  <c r="C6" i="4" a="1"/>
  <c r="C16" i="4" s="1"/>
  <c r="F16" i="4" s="1"/>
  <c r="C6" i="3" a="1"/>
  <c r="C17" i="3" s="1"/>
  <c r="G16" i="3" l="1"/>
  <c r="G12" i="3"/>
  <c r="G8" i="3"/>
  <c r="G17" i="3"/>
  <c r="G13" i="3"/>
  <c r="G9" i="3"/>
  <c r="G15" i="3"/>
  <c r="G11" i="3"/>
  <c r="G7" i="3"/>
  <c r="G18" i="3"/>
  <c r="G14" i="3"/>
  <c r="G10" i="3"/>
  <c r="C9" i="4"/>
  <c r="F9" i="4" s="1"/>
  <c r="C13" i="4"/>
  <c r="F13" i="4" s="1"/>
  <c r="C17" i="4"/>
  <c r="F17" i="4" s="1"/>
  <c r="C6" i="4"/>
  <c r="C10" i="4"/>
  <c r="F10" i="4" s="1"/>
  <c r="C14" i="4"/>
  <c r="F14" i="4" s="1"/>
  <c r="C18" i="4"/>
  <c r="F18" i="4" s="1"/>
  <c r="C7" i="4"/>
  <c r="F7" i="4" s="1"/>
  <c r="C11" i="4"/>
  <c r="F11" i="4" s="1"/>
  <c r="C15" i="4"/>
  <c r="F15" i="4" s="1"/>
  <c r="C8" i="4"/>
  <c r="F8" i="4" s="1"/>
  <c r="C12" i="4"/>
  <c r="F12" i="4" s="1"/>
  <c r="C8" i="3"/>
  <c r="C12" i="3"/>
  <c r="C16" i="3"/>
  <c r="C6" i="3"/>
  <c r="C10" i="3"/>
  <c r="C14" i="3"/>
  <c r="C18" i="3"/>
  <c r="C7" i="3"/>
  <c r="C11" i="3"/>
  <c r="C15" i="3"/>
  <c r="C9" i="3"/>
  <c r="C13" i="3"/>
  <c r="C23" i="4" l="1"/>
  <c r="C21" i="4" a="1"/>
  <c r="C21" i="4" s="1"/>
  <c r="G6" i="4" a="1"/>
  <c r="F6" i="4"/>
  <c r="G13" i="4" l="1"/>
  <c r="G17" i="4"/>
  <c r="G9" i="4"/>
  <c r="G16" i="4"/>
  <c r="G12" i="4"/>
  <c r="G8" i="4"/>
  <c r="G15" i="4"/>
  <c r="G11" i="4"/>
  <c r="G7" i="4"/>
  <c r="G18" i="4"/>
  <c r="G14" i="4"/>
  <c r="G10" i="4"/>
  <c r="G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<sst xmlns="http://schemas.openxmlformats.org/spreadsheetml/2006/main" count="56" uniqueCount="26">
  <si>
    <t>A Tabela 1 é um exemplo de matriz</t>
  </si>
  <si>
    <t>Empregado</t>
  </si>
  <si>
    <t>Salário por hora</t>
  </si>
  <si>
    <t>Horas Normais</t>
  </si>
  <si>
    <t>Horas Extras</t>
  </si>
  <si>
    <t>Salário no Mês</t>
  </si>
  <si>
    <t>Tabela 1 - Salários e horas extras por empregado no mês Jan/2021</t>
  </si>
  <si>
    <t>Carl Sagan</t>
  </si>
  <si>
    <t>Albert Einstein</t>
  </si>
  <si>
    <t>Marie Curie</t>
  </si>
  <si>
    <t>Amelia Earhart</t>
  </si>
  <si>
    <t>Rosa Parks</t>
  </si>
  <si>
    <t>Kathrine Switzer</t>
  </si>
  <si>
    <t>Maria da Penha</t>
  </si>
  <si>
    <t>Malala Yousafzai</t>
  </si>
  <si>
    <t>Maria Quitéria</t>
  </si>
  <si>
    <t>Maria Tomásia</t>
  </si>
  <si>
    <t>Francisa Gonzaga</t>
  </si>
  <si>
    <t>Bertha Lutz</t>
  </si>
  <si>
    <t>Enedina Marques</t>
  </si>
  <si>
    <t>Normal</t>
  </si>
  <si>
    <t>Matriz</t>
  </si>
  <si>
    <t>Soma dos salários no mês</t>
  </si>
  <si>
    <t>&lt;&lt; Matriz</t>
  </si>
  <si>
    <t>&lt;&lt; Função</t>
  </si>
  <si>
    <t>Vantagens da Matriz???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</si>
</sst>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R$&quot;\ #,##0;\-&quot;R$&quot;\ #,##0"/>
    <numFmt numFmtId="44" formatCode="_-&quot;R$&quot;\ * #,##0.00_-;\-&quot;R$&quot;\ * #,##0.00_-;_-&quot;R$&quot;\ * &quot;-&quot;??_-;_-@_-"/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5" fontId="3" fillId="0" borderId="2" xfId="1" applyNumberFormat="1" applyFont="1" applyBorder="1"/>
    <xf numFmtId="5" fontId="3" fillId="0" borderId="0" xfId="1" applyNumberFormat="1" applyFont="1" applyBorder="1"/>
    <xf numFmtId="5" fontId="3" fillId="0" borderId="3" xfId="1" applyNumberFormat="1" applyFont="1" applyBorder="1"/>
    <xf numFmtId="164" fontId="3" fillId="0" borderId="0" xfId="0" applyNumberFormat="1" applyFont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03BC-DF93-46DA-8866-E5DD62C01429}">
  <dimension ref="B1:G23"/>
  <sheetViews>
    <sheetView showGridLines="0" tabSelected="1" topLeftCell="A4" workbookViewId="0">
      <selection activeCell="C24" sqref="C24"/>
    </sheetView>
  </sheetViews>
  <sheetFormatPr defaultRowHeight="15" x14ac:dyDescent="0.25"/>
  <cols>
    <col min="1" max="1" width="12.7109375" customWidth="1"/>
    <col min="2" max="2" width="25.5703125" customWidth="1"/>
    <col min="3" max="7" width="15.7109375" customWidth="1"/>
    <col min="8" max="17" width="12.7109375" customWidth="1"/>
  </cols>
  <sheetData>
    <row r="1" spans="2:7" ht="15" customHeight="1" x14ac:dyDescent="0.25"/>
    <row r="2" spans="2:7" ht="15" customHeight="1" x14ac:dyDescent="0.25">
      <c r="B2" s="1" t="s">
        <v>0</v>
      </c>
    </row>
    <row r="3" spans="2:7" ht="15" customHeight="1" x14ac:dyDescent="0.25"/>
    <row r="4" spans="2:7" ht="15" customHeight="1" x14ac:dyDescent="0.25">
      <c r="B4" t="s">
        <v>6</v>
      </c>
      <c r="F4" s="2" t="s">
        <v>20</v>
      </c>
      <c r="G4" s="2" t="s">
        <v>21</v>
      </c>
    </row>
    <row r="5" spans="2:7" ht="15" customHeight="1" x14ac:dyDescent="0.2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5</v>
      </c>
    </row>
    <row r="6" spans="2:7" ht="15" customHeight="1" x14ac:dyDescent="0.25">
      <c r="B6" s="5" t="s">
        <v>8</v>
      </c>
      <c r="C6" s="5">
        <f t="array" ref="C6:C18">{70}</f>
        <v>70</v>
      </c>
      <c r="D6" s="5">
        <v>186</v>
      </c>
      <c r="E6" s="5">
        <v>7</v>
      </c>
      <c r="F6" s="11">
        <f>(D6*C6)+(E6*C6*1.5)</f>
        <v>13755</v>
      </c>
      <c r="G6" s="11">
        <f t="array" ref="G6:G18">(C6:C18*D6:D18)+(E6:E18*C6:C18)*1.5</f>
        <v>13755</v>
      </c>
    </row>
    <row r="7" spans="2:7" ht="15" customHeight="1" x14ac:dyDescent="0.25">
      <c r="B7" t="s">
        <v>10</v>
      </c>
      <c r="C7">
        <v>70</v>
      </c>
      <c r="D7">
        <v>211</v>
      </c>
      <c r="E7">
        <v>44</v>
      </c>
      <c r="F7" s="10">
        <f t="shared" ref="F7:F18" si="0">(D7*C7)+(E7*C7*1.5)</f>
        <v>19390</v>
      </c>
      <c r="G7" s="10">
        <v>19390</v>
      </c>
    </row>
    <row r="8" spans="2:7" ht="15" customHeight="1" x14ac:dyDescent="0.25">
      <c r="B8" t="s">
        <v>18</v>
      </c>
      <c r="C8">
        <v>70</v>
      </c>
      <c r="D8">
        <v>190</v>
      </c>
      <c r="E8">
        <v>37</v>
      </c>
      <c r="F8" s="10">
        <f t="shared" si="0"/>
        <v>17185</v>
      </c>
      <c r="G8" s="10">
        <v>17185</v>
      </c>
    </row>
    <row r="9" spans="2:7" ht="15" customHeight="1" x14ac:dyDescent="0.25">
      <c r="B9" t="s">
        <v>7</v>
      </c>
      <c r="C9">
        <v>70</v>
      </c>
      <c r="D9">
        <v>208</v>
      </c>
      <c r="E9">
        <v>37</v>
      </c>
      <c r="F9" s="10">
        <f t="shared" si="0"/>
        <v>18445</v>
      </c>
      <c r="G9" s="10">
        <v>18445</v>
      </c>
    </row>
    <row r="10" spans="2:7" ht="15" customHeight="1" x14ac:dyDescent="0.25">
      <c r="B10" t="s">
        <v>19</v>
      </c>
      <c r="C10">
        <v>70</v>
      </c>
      <c r="D10">
        <v>193</v>
      </c>
      <c r="E10">
        <v>10</v>
      </c>
      <c r="F10" s="10">
        <f t="shared" si="0"/>
        <v>14560</v>
      </c>
      <c r="G10" s="10">
        <v>14560</v>
      </c>
    </row>
    <row r="11" spans="2:7" ht="15" customHeight="1" x14ac:dyDescent="0.25">
      <c r="B11" t="s">
        <v>17</v>
      </c>
      <c r="C11">
        <v>70</v>
      </c>
      <c r="D11">
        <v>205</v>
      </c>
      <c r="E11">
        <v>23</v>
      </c>
      <c r="F11" s="10">
        <f t="shared" si="0"/>
        <v>16765</v>
      </c>
      <c r="G11" s="10">
        <v>16765</v>
      </c>
    </row>
    <row r="12" spans="2:7" ht="15" customHeight="1" x14ac:dyDescent="0.25">
      <c r="B12" t="s">
        <v>12</v>
      </c>
      <c r="C12">
        <v>70</v>
      </c>
      <c r="D12">
        <v>184</v>
      </c>
      <c r="E12">
        <v>2</v>
      </c>
      <c r="F12" s="10">
        <f t="shared" si="0"/>
        <v>13090</v>
      </c>
      <c r="G12" s="10">
        <v>13090</v>
      </c>
    </row>
    <row r="13" spans="2:7" ht="15" customHeight="1" x14ac:dyDescent="0.25">
      <c r="B13" t="s">
        <v>14</v>
      </c>
      <c r="C13">
        <v>70</v>
      </c>
      <c r="D13">
        <v>192</v>
      </c>
      <c r="E13">
        <v>2</v>
      </c>
      <c r="F13" s="10">
        <f t="shared" si="0"/>
        <v>13650</v>
      </c>
      <c r="G13" s="10">
        <v>13650</v>
      </c>
    </row>
    <row r="14" spans="2:7" ht="15" customHeight="1" x14ac:dyDescent="0.25">
      <c r="B14" t="s">
        <v>13</v>
      </c>
      <c r="C14">
        <v>70</v>
      </c>
      <c r="D14">
        <v>210</v>
      </c>
      <c r="E14">
        <v>4</v>
      </c>
      <c r="F14" s="10">
        <f t="shared" si="0"/>
        <v>15120</v>
      </c>
      <c r="G14" s="10">
        <v>15120</v>
      </c>
    </row>
    <row r="15" spans="2:7" ht="15" customHeight="1" x14ac:dyDescent="0.25">
      <c r="B15" t="s">
        <v>15</v>
      </c>
      <c r="C15">
        <v>70</v>
      </c>
      <c r="D15">
        <v>180</v>
      </c>
      <c r="E15">
        <v>0</v>
      </c>
      <c r="F15" s="10">
        <f t="shared" si="0"/>
        <v>12600</v>
      </c>
      <c r="G15" s="10">
        <v>12600</v>
      </c>
    </row>
    <row r="16" spans="2:7" ht="15" customHeight="1" x14ac:dyDescent="0.25">
      <c r="B16" t="s">
        <v>16</v>
      </c>
      <c r="C16">
        <v>70</v>
      </c>
      <c r="D16">
        <v>186</v>
      </c>
      <c r="E16">
        <v>19</v>
      </c>
      <c r="F16" s="10">
        <f t="shared" si="0"/>
        <v>15015</v>
      </c>
      <c r="G16" s="10">
        <v>15015</v>
      </c>
    </row>
    <row r="17" spans="2:7" ht="15" customHeight="1" x14ac:dyDescent="0.25">
      <c r="B17" t="s">
        <v>9</v>
      </c>
      <c r="C17">
        <v>70</v>
      </c>
      <c r="D17">
        <v>193</v>
      </c>
      <c r="E17">
        <v>6</v>
      </c>
      <c r="F17" s="10">
        <f t="shared" si="0"/>
        <v>14140</v>
      </c>
      <c r="G17" s="10">
        <v>14140</v>
      </c>
    </row>
    <row r="18" spans="2:7" ht="15" customHeight="1" x14ac:dyDescent="0.25">
      <c r="B18" s="6" t="s">
        <v>11</v>
      </c>
      <c r="C18" s="6">
        <v>70</v>
      </c>
      <c r="D18" s="6">
        <v>211</v>
      </c>
      <c r="E18" s="6">
        <v>9</v>
      </c>
      <c r="F18" s="12">
        <f t="shared" si="0"/>
        <v>15715</v>
      </c>
      <c r="G18" s="12">
        <v>15715</v>
      </c>
    </row>
    <row r="19" spans="2:7" ht="15" customHeight="1" x14ac:dyDescent="0.25">
      <c r="F19" s="13">
        <f>SUM(F6:F18)</f>
        <v>199430</v>
      </c>
    </row>
    <row r="21" spans="2:7" x14ac:dyDescent="0.25">
      <c r="B21" t="s">
        <v>22</v>
      </c>
      <c r="C21" s="13" cm="1">
        <f t="array" ref="C21">SUM((C6:C18*D6:D18)+(C6:C18*E6:E18)*1.5)</f>
        <v>199430</v>
      </c>
      <c r="D21" t="s">
        <v>23</v>
      </c>
      <c r="F21" s="1" t="s">
        <v>25</v>
      </c>
    </row>
    <row r="23" spans="2:7" x14ac:dyDescent="0.25">
      <c r="B23" t="s">
        <v>22</v>
      </c>
      <c r="C23" s="13" cm="1">
        <f t="array" ref="C23">SUMPRODUCT(C6:C18*D6:D18)+SUMPRODUCT(C6:C18*E6:E18)*1.5</f>
        <v>199430</v>
      </c>
      <c r="D23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E2E9-2D38-4431-AAA0-40DBC4913159}">
  <dimension ref="B1:G23"/>
  <sheetViews>
    <sheetView showGridLines="0" topLeftCell="A2" workbookViewId="0">
      <selection activeCell="C21" sqref="C21"/>
    </sheetView>
  </sheetViews>
  <sheetFormatPr defaultRowHeight="15" x14ac:dyDescent="0.25"/>
  <cols>
    <col min="1" max="1" width="12.7109375" customWidth="1"/>
    <col min="2" max="2" width="25.5703125" customWidth="1"/>
    <col min="3" max="7" width="15.7109375" customWidth="1"/>
    <col min="8" max="17" width="12.7109375" customWidth="1"/>
  </cols>
  <sheetData>
    <row r="1" spans="2:7" ht="15" customHeight="1" x14ac:dyDescent="0.25"/>
    <row r="2" spans="2:7" ht="15" customHeight="1" x14ac:dyDescent="0.25">
      <c r="B2" s="1" t="s">
        <v>0</v>
      </c>
    </row>
    <row r="3" spans="2:7" ht="15" customHeight="1" x14ac:dyDescent="0.25"/>
    <row r="4" spans="2:7" ht="15" customHeight="1" x14ac:dyDescent="0.25">
      <c r="B4" t="s">
        <v>6</v>
      </c>
      <c r="F4" s="2" t="s">
        <v>20</v>
      </c>
      <c r="G4" s="2" t="s">
        <v>21</v>
      </c>
    </row>
    <row r="5" spans="2:7" ht="15" customHeight="1" x14ac:dyDescent="0.2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5</v>
      </c>
    </row>
    <row r="6" spans="2:7" ht="15" customHeight="1" x14ac:dyDescent="0.25">
      <c r="B6" s="5" t="s">
        <v>8</v>
      </c>
      <c r="C6" s="5">
        <f t="array" ref="C6:C18">{70}</f>
        <v>70</v>
      </c>
      <c r="D6" s="5">
        <v>186</v>
      </c>
      <c r="E6" s="5">
        <v>7</v>
      </c>
      <c r="F6" s="7">
        <f>(C6*D6)+(C6*E6)*1.5</f>
        <v>13755</v>
      </c>
      <c r="G6" s="7">
        <f t="array" ref="G6:G18">((C6:C18)*(D6:D18))+((C6:C18)*(E6:E18))*1.5</f>
        <v>13755</v>
      </c>
    </row>
    <row r="7" spans="2:7" ht="15" customHeight="1" x14ac:dyDescent="0.25">
      <c r="B7" t="s">
        <v>10</v>
      </c>
      <c r="C7">
        <v>70</v>
      </c>
      <c r="D7">
        <v>211</v>
      </c>
      <c r="E7">
        <v>44</v>
      </c>
      <c r="F7" s="8">
        <f t="shared" ref="F7:F18" si="0">(C7*D7)+(C7*E7)*1.5</f>
        <v>19390</v>
      </c>
      <c r="G7" s="8">
        <v>19390</v>
      </c>
    </row>
    <row r="8" spans="2:7" ht="15" customHeight="1" x14ac:dyDescent="0.25">
      <c r="B8" t="s">
        <v>18</v>
      </c>
      <c r="C8">
        <v>70</v>
      </c>
      <c r="D8">
        <v>190</v>
      </c>
      <c r="E8">
        <v>37</v>
      </c>
      <c r="F8" s="8">
        <f t="shared" si="0"/>
        <v>17185</v>
      </c>
      <c r="G8" s="8">
        <v>17185</v>
      </c>
    </row>
    <row r="9" spans="2:7" ht="15" customHeight="1" x14ac:dyDescent="0.25">
      <c r="B9" t="s">
        <v>7</v>
      </c>
      <c r="C9">
        <v>70</v>
      </c>
      <c r="D9">
        <v>208</v>
      </c>
      <c r="E9">
        <v>37</v>
      </c>
      <c r="F9" s="8">
        <f t="shared" si="0"/>
        <v>18445</v>
      </c>
      <c r="G9" s="8">
        <v>18445</v>
      </c>
    </row>
    <row r="10" spans="2:7" ht="15" customHeight="1" x14ac:dyDescent="0.25">
      <c r="B10" t="s">
        <v>19</v>
      </c>
      <c r="C10">
        <v>70</v>
      </c>
      <c r="D10">
        <v>193</v>
      </c>
      <c r="E10">
        <v>10</v>
      </c>
      <c r="F10" s="8">
        <f t="shared" si="0"/>
        <v>14560</v>
      </c>
      <c r="G10" s="8">
        <v>14560</v>
      </c>
    </row>
    <row r="11" spans="2:7" ht="15" customHeight="1" x14ac:dyDescent="0.25">
      <c r="B11" t="s">
        <v>17</v>
      </c>
      <c r="C11">
        <v>70</v>
      </c>
      <c r="D11">
        <v>205</v>
      </c>
      <c r="E11">
        <v>23</v>
      </c>
      <c r="F11" s="8">
        <f t="shared" si="0"/>
        <v>16765</v>
      </c>
      <c r="G11" s="8">
        <v>16765</v>
      </c>
    </row>
    <row r="12" spans="2:7" ht="15" customHeight="1" x14ac:dyDescent="0.25">
      <c r="B12" t="s">
        <v>12</v>
      </c>
      <c r="C12">
        <v>70</v>
      </c>
      <c r="D12">
        <v>184</v>
      </c>
      <c r="E12">
        <v>2</v>
      </c>
      <c r="F12" s="8">
        <f t="shared" si="0"/>
        <v>13090</v>
      </c>
      <c r="G12" s="8">
        <v>13090</v>
      </c>
    </row>
    <row r="13" spans="2:7" ht="15" customHeight="1" x14ac:dyDescent="0.25">
      <c r="B13" t="s">
        <v>14</v>
      </c>
      <c r="C13">
        <v>70</v>
      </c>
      <c r="D13">
        <v>192</v>
      </c>
      <c r="E13">
        <v>2</v>
      </c>
      <c r="F13" s="8">
        <f t="shared" si="0"/>
        <v>13650</v>
      </c>
      <c r="G13" s="8">
        <v>13650</v>
      </c>
    </row>
    <row r="14" spans="2:7" ht="15" customHeight="1" x14ac:dyDescent="0.25">
      <c r="B14" t="s">
        <v>13</v>
      </c>
      <c r="C14">
        <v>70</v>
      </c>
      <c r="D14">
        <v>210</v>
      </c>
      <c r="E14">
        <v>4</v>
      </c>
      <c r="F14" s="8">
        <f t="shared" si="0"/>
        <v>15120</v>
      </c>
      <c r="G14" s="8">
        <v>15120</v>
      </c>
    </row>
    <row r="15" spans="2:7" ht="15" customHeight="1" x14ac:dyDescent="0.25">
      <c r="B15" t="s">
        <v>15</v>
      </c>
      <c r="C15">
        <v>70</v>
      </c>
      <c r="D15">
        <v>180</v>
      </c>
      <c r="E15">
        <v>0</v>
      </c>
      <c r="F15" s="8">
        <f t="shared" si="0"/>
        <v>12600</v>
      </c>
      <c r="G15" s="8">
        <v>12600</v>
      </c>
    </row>
    <row r="16" spans="2:7" ht="15" customHeight="1" x14ac:dyDescent="0.25">
      <c r="B16" t="s">
        <v>16</v>
      </c>
      <c r="C16">
        <v>70</v>
      </c>
      <c r="D16">
        <v>186</v>
      </c>
      <c r="E16">
        <v>19</v>
      </c>
      <c r="F16" s="8">
        <f t="shared" si="0"/>
        <v>15015</v>
      </c>
      <c r="G16" s="8">
        <v>15015</v>
      </c>
    </row>
    <row r="17" spans="2:7" ht="15" customHeight="1" x14ac:dyDescent="0.25">
      <c r="B17" t="s">
        <v>9</v>
      </c>
      <c r="C17">
        <v>70</v>
      </c>
      <c r="D17">
        <v>193</v>
      </c>
      <c r="E17">
        <v>6</v>
      </c>
      <c r="F17" s="8">
        <f t="shared" si="0"/>
        <v>14140</v>
      </c>
      <c r="G17" s="8">
        <v>14140</v>
      </c>
    </row>
    <row r="18" spans="2:7" ht="15" customHeight="1" x14ac:dyDescent="0.25">
      <c r="B18" s="6" t="s">
        <v>11</v>
      </c>
      <c r="C18" s="6">
        <v>70</v>
      </c>
      <c r="D18" s="6">
        <v>211</v>
      </c>
      <c r="E18" s="6">
        <v>9</v>
      </c>
      <c r="F18" s="9">
        <f t="shared" si="0"/>
        <v>15715</v>
      </c>
      <c r="G18" s="9">
        <v>15715</v>
      </c>
    </row>
    <row r="19" spans="2:7" ht="15" customHeight="1" x14ac:dyDescent="0.25"/>
    <row r="21" spans="2:7" x14ac:dyDescent="0.25">
      <c r="B21" t="s">
        <v>22</v>
      </c>
      <c r="C21" s="10">
        <f t="array" ref="C21">SUM((C6:C18)*(D6:D18)+(C6:C18)*(E6:E18)*1.5)</f>
        <v>199430</v>
      </c>
      <c r="D21" t="s">
        <v>23</v>
      </c>
      <c r="E21" s="1" t="s">
        <v>25</v>
      </c>
    </row>
    <row r="23" spans="2:7" x14ac:dyDescent="0.25">
      <c r="B23" t="s">
        <v>22</v>
      </c>
      <c r="C23" s="10">
        <f>SUMPRODUCT(C6:C18,D6:D18)+SUMPRODUCT(C6:C18,E6:E18)*1.5</f>
        <v>199430</v>
      </c>
      <c r="D23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Fórmulas</vt:lpstr>
      <vt:lpstr>Fórmulas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Giovany Almeida</cp:lastModifiedBy>
  <dcterms:created xsi:type="dcterms:W3CDTF">2021-02-01T18:02:22Z</dcterms:created>
  <dcterms:modified xsi:type="dcterms:W3CDTF">2024-03-04T20:30:13Z</dcterms:modified>
</cp:coreProperties>
</file>