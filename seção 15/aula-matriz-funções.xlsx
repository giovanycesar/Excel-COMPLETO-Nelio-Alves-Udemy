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ova\Desktop\Curso Excel\seção 15\"/>
    </mc:Choice>
  </mc:AlternateContent>
  <xr:revisionPtr revIDLastSave="0" documentId="13_ncr:1_{0B674E64-E937-465E-BBA1-7D0AFB6BBD94}" xr6:coauthVersionLast="47" xr6:coauthVersionMax="47" xr10:uidLastSave="{00000000-0000-0000-0000-000000000000}"/>
  <bookViews>
    <workbookView xWindow="-120" yWindow="-120" windowWidth="20730" windowHeight="11160" xr2:uid="{13E73B9B-6B48-4501-81FC-C2828A72E9F4}"/>
  </bookViews>
  <sheets>
    <sheet name="Funções" sheetId="5" r:id="rId1"/>
    <sheet name="Funções Final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5" l="1"/>
  <c r="I8" i="5"/>
  <c r="H14" i="5" a="1"/>
  <c r="H14" i="5" s="1"/>
  <c r="H13" i="5" a="1"/>
  <c r="H13" i="5" s="1"/>
  <c r="I7" i="5" a="1"/>
  <c r="I7" i="5" s="1"/>
  <c r="I6" i="5" a="1"/>
  <c r="I6" i="5" s="1"/>
  <c r="I5" i="5" a="1"/>
  <c r="I5" i="5" s="1"/>
  <c r="I4" i="5" a="1"/>
  <c r="I4" i="5" s="1"/>
  <c r="H4" i="5"/>
  <c r="C4" i="5" a="1"/>
  <c r="C15" i="5" s="1"/>
  <c r="C6" i="5" l="1"/>
  <c r="C12" i="5"/>
  <c r="C13" i="5"/>
  <c r="C4" i="5"/>
  <c r="C9" i="5"/>
  <c r="C14" i="5"/>
  <c r="C8" i="5"/>
  <c r="C5" i="5"/>
  <c r="C10" i="5"/>
  <c r="C16" i="5"/>
  <c r="C7" i="5"/>
  <c r="C11" i="5"/>
  <c r="I4" i="4" a="1"/>
  <c r="I4" i="4" s="1"/>
  <c r="H4" i="4"/>
  <c r="C4" i="4" a="1"/>
  <c r="C14" i="4" s="1"/>
  <c r="C7" i="4" l="1"/>
  <c r="C11" i="4"/>
  <c r="C15" i="4"/>
  <c r="C4" i="4"/>
  <c r="C8" i="4"/>
  <c r="C12" i="4"/>
  <c r="C16" i="4"/>
  <c r="C5" i="4"/>
  <c r="C9" i="4"/>
  <c r="C13" i="4"/>
  <c r="C6" i="4"/>
  <c r="C10" i="4"/>
  <c r="I7" i="4" l="1" a="1"/>
  <c r="I7" i="4" s="1"/>
  <c r="H14" i="4" s="1" a="1"/>
  <c r="H14" i="4" s="1"/>
  <c r="I9" i="4" s="1"/>
  <c r="I6" i="4" a="1"/>
  <c r="I6" i="4" s="1"/>
  <c r="H13" i="4" s="1" a="1"/>
  <c r="H13" i="4" s="1"/>
  <c r="I8" i="4" s="1"/>
  <c r="I5" i="4" a="1"/>
  <c r="I5" i="4" s="1"/>
</calcChain>
</file>

<file path=xl/sharedStrings.xml><?xml version="1.0" encoding="utf-8"?>
<sst xmlns="http://schemas.openxmlformats.org/spreadsheetml/2006/main" count="90" uniqueCount="31">
  <si>
    <t>Empregado</t>
  </si>
  <si>
    <t>Salário por hora</t>
  </si>
  <si>
    <t>Horas Normais</t>
  </si>
  <si>
    <t>Horas Extras</t>
  </si>
  <si>
    <t>Salário no Mês</t>
  </si>
  <si>
    <t>Tabela 1 - Salários e horas extras por empregado no mês Jan/2021</t>
  </si>
  <si>
    <t>Carl Sagan</t>
  </si>
  <si>
    <t>Albert Einstein</t>
  </si>
  <si>
    <t>Marie Curie</t>
  </si>
  <si>
    <t>Amelia Earhart</t>
  </si>
  <si>
    <t>Rosa Parks</t>
  </si>
  <si>
    <t>Kathrine Switzer</t>
  </si>
  <si>
    <t>Maria da Penha</t>
  </si>
  <si>
    <t>Malala Yousafzai</t>
  </si>
  <si>
    <t>Maria Quitéria</t>
  </si>
  <si>
    <t>Maria Tomásia</t>
  </si>
  <si>
    <t>Francisa Gonzaga</t>
  </si>
  <si>
    <t>Bertha Lutz</t>
  </si>
  <si>
    <t>Enedina Marques</t>
  </si>
  <si>
    <t>Matriz</t>
  </si>
  <si>
    <t>Função</t>
  </si>
  <si>
    <t>Maior salário no mês</t>
  </si>
  <si>
    <t>Menor salário no mês</t>
  </si>
  <si>
    <t>Empregado com maior salário no mês</t>
  </si>
  <si>
    <t>Empregado com menor salário no mês</t>
  </si>
  <si>
    <t>Informação</t>
  </si>
  <si>
    <t>Número de salários com HE &gt; 30</t>
  </si>
  <si>
    <t>Soma dos salários com HE &gt; 30</t>
  </si>
  <si>
    <t>Apoio</t>
  </si>
  <si>
    <t>Posição do maior salário na matriz</t>
  </si>
  <si>
    <t>Posição do menor salário na matriz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</si>
</sst>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2" xfId="0" applyBorder="1"/>
    <xf numFmtId="0" fontId="0" fillId="0" borderId="3" xfId="0" applyBorder="1"/>
    <xf numFmtId="0" fontId="2" fillId="0" borderId="2" xfId="0" applyFont="1" applyBorder="1"/>
    <xf numFmtId="0" fontId="2" fillId="0" borderId="0" xfId="0" applyFont="1"/>
    <xf numFmtId="0" fontId="2" fillId="0" borderId="3" xfId="0" applyFont="1" applyBorder="1"/>
    <xf numFmtId="164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3" xfId="0" applyFont="1" applyBorder="1" applyAlignment="1">
      <alignment horizontal="right"/>
    </xf>
    <xf numFmtId="164" fontId="0" fillId="0" borderId="2" xfId="0" applyNumberFormat="1" applyBorder="1"/>
    <xf numFmtId="164" fontId="0" fillId="0" borderId="0" xfId="0" applyNumberFormat="1"/>
    <xf numFmtId="164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C1799-60A4-4B45-A4D7-36CBF9F05A7A}">
  <dimension ref="B1:I39"/>
  <sheetViews>
    <sheetView showGridLines="0" tabSelected="1" workbookViewId="0">
      <selection activeCell="I10" sqref="I10"/>
    </sheetView>
  </sheetViews>
  <sheetFormatPr defaultRowHeight="15" x14ac:dyDescent="0.25"/>
  <cols>
    <col min="1" max="1" width="5.7109375" customWidth="1"/>
    <col min="2" max="2" width="25.5703125" customWidth="1"/>
    <col min="3" max="5" width="15.7109375" customWidth="1"/>
    <col min="6" max="6" width="12.7109375" customWidth="1"/>
    <col min="7" max="7" width="40.7109375" customWidth="1"/>
    <col min="8" max="8" width="15.7109375" customWidth="1"/>
    <col min="9" max="9" width="25" customWidth="1"/>
    <col min="10" max="11" width="12.7109375" customWidth="1"/>
  </cols>
  <sheetData>
    <row r="1" spans="2:9" ht="15" customHeight="1" x14ac:dyDescent="0.25"/>
    <row r="2" spans="2:9" ht="15" customHeight="1" x14ac:dyDescent="0.25">
      <c r="B2" s="1" t="s">
        <v>5</v>
      </c>
    </row>
    <row r="3" spans="2:9" ht="15" customHeight="1" x14ac:dyDescent="0.25">
      <c r="B3" s="2" t="s">
        <v>0</v>
      </c>
      <c r="C3" s="3" t="s">
        <v>1</v>
      </c>
      <c r="D3" s="3" t="s">
        <v>2</v>
      </c>
      <c r="E3" s="3" t="s">
        <v>3</v>
      </c>
      <c r="G3" s="2" t="s">
        <v>25</v>
      </c>
      <c r="H3" s="3" t="s">
        <v>20</v>
      </c>
      <c r="I3" s="3" t="s">
        <v>19</v>
      </c>
    </row>
    <row r="4" spans="2:9" ht="15" customHeight="1" x14ac:dyDescent="0.25">
      <c r="B4" s="4" t="s">
        <v>7</v>
      </c>
      <c r="C4" s="4">
        <f t="array" ref="C4:C16">{70}</f>
        <v>70</v>
      </c>
      <c r="D4" s="4">
        <v>186</v>
      </c>
      <c r="E4" s="4">
        <v>7</v>
      </c>
      <c r="G4" s="4" t="s">
        <v>26</v>
      </c>
      <c r="H4" s="6">
        <f>COUNTIF(E4:E16,"&gt;30")</f>
        <v>3</v>
      </c>
      <c r="I4" s="6">
        <f t="array" ref="I4">SUM(IF(E4:E16&gt;30,1,0))</f>
        <v>3</v>
      </c>
    </row>
    <row r="5" spans="2:9" ht="15" customHeight="1" x14ac:dyDescent="0.25">
      <c r="B5" t="s">
        <v>9</v>
      </c>
      <c r="C5">
        <v>70</v>
      </c>
      <c r="D5">
        <v>211</v>
      </c>
      <c r="E5">
        <v>44</v>
      </c>
      <c r="G5" t="s">
        <v>27</v>
      </c>
      <c r="H5" s="7"/>
      <c r="I5" s="9">
        <f t="array" ref="I5">SUM(IF(E4:E16&gt;30,(C4:C16*E4:E16)*1.5+(C4:C16*D4:D16),0))</f>
        <v>55020</v>
      </c>
    </row>
    <row r="6" spans="2:9" ht="15" customHeight="1" x14ac:dyDescent="0.25">
      <c r="B6" t="s">
        <v>17</v>
      </c>
      <c r="C6">
        <v>70</v>
      </c>
      <c r="D6">
        <v>190</v>
      </c>
      <c r="E6">
        <v>37</v>
      </c>
      <c r="G6" t="s">
        <v>21</v>
      </c>
      <c r="H6" s="7"/>
      <c r="I6" s="9">
        <f t="array" ref="I6">MAX((C4:C16*E4:E16)*1.5+(C4:C16*D4:D16))</f>
        <v>19390</v>
      </c>
    </row>
    <row r="7" spans="2:9" ht="15" customHeight="1" x14ac:dyDescent="0.25">
      <c r="B7" t="s">
        <v>6</v>
      </c>
      <c r="C7">
        <v>70</v>
      </c>
      <c r="D7">
        <v>208</v>
      </c>
      <c r="E7">
        <v>37</v>
      </c>
      <c r="G7" t="s">
        <v>22</v>
      </c>
      <c r="H7" s="7"/>
      <c r="I7" s="9">
        <f t="array" ref="I7">MIN((C4:C16*E4:E16)*1.5+(C4:C16*D4:D16))</f>
        <v>12600</v>
      </c>
    </row>
    <row r="8" spans="2:9" ht="15" customHeight="1" x14ac:dyDescent="0.25">
      <c r="B8" t="s">
        <v>18</v>
      </c>
      <c r="C8">
        <v>70</v>
      </c>
      <c r="D8">
        <v>193</v>
      </c>
      <c r="E8">
        <v>10</v>
      </c>
      <c r="G8" t="s">
        <v>23</v>
      </c>
      <c r="H8" s="7"/>
      <c r="I8" s="10" t="str">
        <f ca="1">OFFSET(B3,H13,0)</f>
        <v>Amelia Earhart</v>
      </c>
    </row>
    <row r="9" spans="2:9" ht="15" customHeight="1" x14ac:dyDescent="0.25">
      <c r="B9" t="s">
        <v>16</v>
      </c>
      <c r="C9">
        <v>70</v>
      </c>
      <c r="D9">
        <v>205</v>
      </c>
      <c r="E9">
        <v>23</v>
      </c>
      <c r="G9" s="5" t="s">
        <v>24</v>
      </c>
      <c r="H9" s="8"/>
      <c r="I9" s="11" t="str">
        <f ca="1">OFFSET(B3,H14,0)</f>
        <v>Maria Quitéria</v>
      </c>
    </row>
    <row r="10" spans="2:9" ht="15" customHeight="1" x14ac:dyDescent="0.25">
      <c r="B10" t="s">
        <v>11</v>
      </c>
      <c r="C10">
        <v>70</v>
      </c>
      <c r="D10">
        <v>184</v>
      </c>
      <c r="E10">
        <v>2</v>
      </c>
    </row>
    <row r="11" spans="2:9" ht="15" customHeight="1" x14ac:dyDescent="0.25">
      <c r="B11" t="s">
        <v>13</v>
      </c>
      <c r="C11">
        <v>70</v>
      </c>
      <c r="D11">
        <v>192</v>
      </c>
      <c r="E11">
        <v>2</v>
      </c>
    </row>
    <row r="12" spans="2:9" ht="15" customHeight="1" x14ac:dyDescent="0.25">
      <c r="B12" t="s">
        <v>12</v>
      </c>
      <c r="C12">
        <v>70</v>
      </c>
      <c r="D12">
        <v>210</v>
      </c>
      <c r="E12">
        <v>4</v>
      </c>
      <c r="G12" t="s">
        <v>28</v>
      </c>
    </row>
    <row r="13" spans="2:9" ht="15" customHeight="1" x14ac:dyDescent="0.25">
      <c r="B13" t="s">
        <v>14</v>
      </c>
      <c r="C13">
        <v>70</v>
      </c>
      <c r="D13">
        <v>180</v>
      </c>
      <c r="E13">
        <v>0</v>
      </c>
      <c r="G13" s="4" t="s">
        <v>29</v>
      </c>
      <c r="H13" s="6">
        <f t="array" ref="H13">MATCH(MAX((C4:C16*E4:E16)*1.5+(C4:C16*D4:D16)),(C4:C16*E4:E16)*1.5+(C4:C16*D4:D16),0)</f>
        <v>2</v>
      </c>
    </row>
    <row r="14" spans="2:9" ht="15" customHeight="1" x14ac:dyDescent="0.25">
      <c r="B14" t="s">
        <v>15</v>
      </c>
      <c r="C14">
        <v>70</v>
      </c>
      <c r="D14">
        <v>186</v>
      </c>
      <c r="E14">
        <v>19</v>
      </c>
      <c r="G14" s="5" t="s">
        <v>30</v>
      </c>
      <c r="H14" s="8">
        <f t="array" ref="H14">MATCH(MIN((C4:C16*E4:E16)*1.5+(C4:C16*D4:D16)),(C4:C16*E4:E16)*1.5+(C4:C16*D4:D16),0)</f>
        <v>10</v>
      </c>
    </row>
    <row r="15" spans="2:9" ht="15" customHeight="1" x14ac:dyDescent="0.25">
      <c r="B15" t="s">
        <v>8</v>
      </c>
      <c r="C15">
        <v>70</v>
      </c>
      <c r="D15">
        <v>193</v>
      </c>
      <c r="E15">
        <v>6</v>
      </c>
    </row>
    <row r="16" spans="2:9" ht="15" customHeight="1" x14ac:dyDescent="0.25">
      <c r="B16" s="5" t="s">
        <v>10</v>
      </c>
      <c r="C16" s="5">
        <v>70</v>
      </c>
      <c r="D16" s="5">
        <v>211</v>
      </c>
      <c r="E16" s="5">
        <v>9</v>
      </c>
    </row>
    <row r="17" spans="2:3" ht="15" customHeight="1" x14ac:dyDescent="0.25"/>
    <row r="26" spans="2:3" x14ac:dyDescent="0.25">
      <c r="B26" s="2" t="s">
        <v>0</v>
      </c>
      <c r="C26" s="3" t="s">
        <v>4</v>
      </c>
    </row>
    <row r="27" spans="2:3" x14ac:dyDescent="0.25">
      <c r="B27" s="4" t="s">
        <v>7</v>
      </c>
      <c r="C27" s="12">
        <v>13755</v>
      </c>
    </row>
    <row r="28" spans="2:3" x14ac:dyDescent="0.25">
      <c r="B28" t="s">
        <v>9</v>
      </c>
      <c r="C28" s="13">
        <v>19390</v>
      </c>
    </row>
    <row r="29" spans="2:3" x14ac:dyDescent="0.25">
      <c r="B29" t="s">
        <v>17</v>
      </c>
      <c r="C29" s="13">
        <v>17185</v>
      </c>
    </row>
    <row r="30" spans="2:3" x14ac:dyDescent="0.25">
      <c r="B30" t="s">
        <v>6</v>
      </c>
      <c r="C30" s="13">
        <v>18445</v>
      </c>
    </row>
    <row r="31" spans="2:3" x14ac:dyDescent="0.25">
      <c r="B31" t="s">
        <v>18</v>
      </c>
      <c r="C31" s="13">
        <v>14560</v>
      </c>
    </row>
    <row r="32" spans="2:3" x14ac:dyDescent="0.25">
      <c r="B32" t="s">
        <v>16</v>
      </c>
      <c r="C32" s="13">
        <v>16765</v>
      </c>
    </row>
    <row r="33" spans="2:3" x14ac:dyDescent="0.25">
      <c r="B33" t="s">
        <v>11</v>
      </c>
      <c r="C33" s="13">
        <v>13090</v>
      </c>
    </row>
    <row r="34" spans="2:3" x14ac:dyDescent="0.25">
      <c r="B34" t="s">
        <v>13</v>
      </c>
      <c r="C34" s="13">
        <v>13650</v>
      </c>
    </row>
    <row r="35" spans="2:3" x14ac:dyDescent="0.25">
      <c r="B35" t="s">
        <v>12</v>
      </c>
      <c r="C35" s="13">
        <v>15120</v>
      </c>
    </row>
    <row r="36" spans="2:3" x14ac:dyDescent="0.25">
      <c r="B36" t="s">
        <v>14</v>
      </c>
      <c r="C36" s="13">
        <v>12600</v>
      </c>
    </row>
    <row r="37" spans="2:3" x14ac:dyDescent="0.25">
      <c r="B37" t="s">
        <v>15</v>
      </c>
      <c r="C37" s="13">
        <v>15015</v>
      </c>
    </row>
    <row r="38" spans="2:3" x14ac:dyDescent="0.25">
      <c r="B38" t="s">
        <v>8</v>
      </c>
      <c r="C38" s="13">
        <v>14140</v>
      </c>
    </row>
    <row r="39" spans="2:3" x14ac:dyDescent="0.25">
      <c r="B39" s="5" t="s">
        <v>10</v>
      </c>
      <c r="C39" s="14">
        <v>15715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9836E-DD59-450F-AF4B-B412F524A2E0}">
  <dimension ref="B1:I39"/>
  <sheetViews>
    <sheetView showGridLines="0" workbookViewId="0">
      <selection activeCell="I4" sqref="I4"/>
    </sheetView>
  </sheetViews>
  <sheetFormatPr defaultRowHeight="15" x14ac:dyDescent="0.25"/>
  <cols>
    <col min="1" max="1" width="5.7109375" customWidth="1"/>
    <col min="2" max="2" width="25.5703125" customWidth="1"/>
    <col min="3" max="5" width="15.7109375" customWidth="1"/>
    <col min="6" max="6" width="12.7109375" customWidth="1"/>
    <col min="7" max="7" width="40.7109375" customWidth="1"/>
    <col min="8" max="8" width="15.7109375" customWidth="1"/>
    <col min="9" max="9" width="25" customWidth="1"/>
    <col min="10" max="11" width="12.7109375" customWidth="1"/>
  </cols>
  <sheetData>
    <row r="1" spans="2:9" ht="15" customHeight="1" x14ac:dyDescent="0.25"/>
    <row r="2" spans="2:9" ht="15" customHeight="1" x14ac:dyDescent="0.25">
      <c r="B2" s="1" t="s">
        <v>5</v>
      </c>
    </row>
    <row r="3" spans="2:9" ht="15" customHeight="1" x14ac:dyDescent="0.25">
      <c r="B3" s="2" t="s">
        <v>0</v>
      </c>
      <c r="C3" s="3" t="s">
        <v>1</v>
      </c>
      <c r="D3" s="3" t="s">
        <v>2</v>
      </c>
      <c r="E3" s="3" t="s">
        <v>3</v>
      </c>
      <c r="G3" s="2" t="s">
        <v>25</v>
      </c>
      <c r="H3" s="3" t="s">
        <v>20</v>
      </c>
      <c r="I3" s="3" t="s">
        <v>19</v>
      </c>
    </row>
    <row r="4" spans="2:9" ht="15" customHeight="1" x14ac:dyDescent="0.25">
      <c r="B4" s="4" t="s">
        <v>7</v>
      </c>
      <c r="C4" s="4">
        <f t="array" ref="C4:C16">{70}</f>
        <v>70</v>
      </c>
      <c r="D4" s="4">
        <v>186</v>
      </c>
      <c r="E4" s="4">
        <v>7</v>
      </c>
      <c r="G4" s="4" t="s">
        <v>26</v>
      </c>
      <c r="H4" s="6">
        <f>COUNTIF(E4:E16,"&gt;30")</f>
        <v>3</v>
      </c>
      <c r="I4" s="6">
        <f t="array" ref="I4">SUM(IF(E4:E16&gt;30,1,0))</f>
        <v>3</v>
      </c>
    </row>
    <row r="5" spans="2:9" ht="15" customHeight="1" x14ac:dyDescent="0.25">
      <c r="B5" t="s">
        <v>9</v>
      </c>
      <c r="C5">
        <v>70</v>
      </c>
      <c r="D5">
        <v>211</v>
      </c>
      <c r="E5">
        <v>44</v>
      </c>
      <c r="G5" t="s">
        <v>27</v>
      </c>
      <c r="H5" s="7"/>
      <c r="I5" s="9">
        <f t="array" ref="I5">SUM(IF(E4:E16&gt;30,(C4:C16)*(D4:D16)+(C4:C16)*(E4:E16)*1.5),0)</f>
        <v>55020</v>
      </c>
    </row>
    <row r="6" spans="2:9" ht="15" customHeight="1" x14ac:dyDescent="0.25">
      <c r="B6" t="s">
        <v>17</v>
      </c>
      <c r="C6">
        <v>70</v>
      </c>
      <c r="D6">
        <v>190</v>
      </c>
      <c r="E6">
        <v>37</v>
      </c>
      <c r="G6" t="s">
        <v>21</v>
      </c>
      <c r="H6" s="7"/>
      <c r="I6" s="9">
        <f t="array" ref="I6">LARGE((C4:C16)*(D4:D16)+(C4:C16)*(E4:E16)*1.5,1)</f>
        <v>19390</v>
      </c>
    </row>
    <row r="7" spans="2:9" ht="15" customHeight="1" x14ac:dyDescent="0.25">
      <c r="B7" t="s">
        <v>6</v>
      </c>
      <c r="C7">
        <v>70</v>
      </c>
      <c r="D7">
        <v>208</v>
      </c>
      <c r="E7">
        <v>37</v>
      </c>
      <c r="G7" t="s">
        <v>22</v>
      </c>
      <c r="H7" s="7"/>
      <c r="I7" s="9">
        <f t="array" ref="I7">SMALL((C4:C16)*(D4:D16)+(C4:C16)*(E4:E16)*1.5,1)</f>
        <v>12600</v>
      </c>
    </row>
    <row r="8" spans="2:9" ht="15" customHeight="1" x14ac:dyDescent="0.25">
      <c r="B8" t="s">
        <v>18</v>
      </c>
      <c r="C8">
        <v>70</v>
      </c>
      <c r="D8">
        <v>193</v>
      </c>
      <c r="E8">
        <v>10</v>
      </c>
      <c r="G8" t="s">
        <v>23</v>
      </c>
      <c r="H8" s="7"/>
      <c r="I8" s="10" t="str">
        <f ca="1">OFFSET(B3,H13,0)</f>
        <v>Amelia Earhart</v>
      </c>
    </row>
    <row r="9" spans="2:9" ht="15" customHeight="1" x14ac:dyDescent="0.25">
      <c r="B9" t="s">
        <v>16</v>
      </c>
      <c r="C9">
        <v>70</v>
      </c>
      <c r="D9">
        <v>205</v>
      </c>
      <c r="E9">
        <v>23</v>
      </c>
      <c r="G9" s="5" t="s">
        <v>24</v>
      </c>
      <c r="H9" s="8"/>
      <c r="I9" s="11" t="str">
        <f ca="1">OFFSET(B3,H14,0)</f>
        <v>Maria Quitéria</v>
      </c>
    </row>
    <row r="10" spans="2:9" ht="15" customHeight="1" x14ac:dyDescent="0.25">
      <c r="B10" t="s">
        <v>11</v>
      </c>
      <c r="C10">
        <v>70</v>
      </c>
      <c r="D10">
        <v>184</v>
      </c>
      <c r="E10">
        <v>2</v>
      </c>
    </row>
    <row r="11" spans="2:9" ht="15" customHeight="1" x14ac:dyDescent="0.25">
      <c r="B11" t="s">
        <v>13</v>
      </c>
      <c r="C11">
        <v>70</v>
      </c>
      <c r="D11">
        <v>192</v>
      </c>
      <c r="E11">
        <v>2</v>
      </c>
    </row>
    <row r="12" spans="2:9" ht="15" customHeight="1" x14ac:dyDescent="0.25">
      <c r="B12" t="s">
        <v>12</v>
      </c>
      <c r="C12">
        <v>70</v>
      </c>
      <c r="D12">
        <v>210</v>
      </c>
      <c r="E12">
        <v>4</v>
      </c>
      <c r="G12" t="s">
        <v>28</v>
      </c>
    </row>
    <row r="13" spans="2:9" ht="15" customHeight="1" x14ac:dyDescent="0.25">
      <c r="B13" t="s">
        <v>14</v>
      </c>
      <c r="C13">
        <v>70</v>
      </c>
      <c r="D13">
        <v>180</v>
      </c>
      <c r="E13">
        <v>0</v>
      </c>
      <c r="G13" s="4" t="s">
        <v>29</v>
      </c>
      <c r="H13" s="6">
        <f t="array" ref="H13">MATCH(I6,(C4:C16)*(D4:D16)+(C4:C16)*(E4:E16)*1.5,0)</f>
        <v>2</v>
      </c>
    </row>
    <row r="14" spans="2:9" ht="15" customHeight="1" x14ac:dyDescent="0.25">
      <c r="B14" t="s">
        <v>15</v>
      </c>
      <c r="C14">
        <v>70</v>
      </c>
      <c r="D14">
        <v>186</v>
      </c>
      <c r="E14">
        <v>19</v>
      </c>
      <c r="G14" s="5" t="s">
        <v>30</v>
      </c>
      <c r="H14" s="8">
        <f t="array" ref="H14">MATCH(I7,(C4:C16)*(D4:D16)+(C4:C16)*(E4:E16)*1.5,0)</f>
        <v>10</v>
      </c>
    </row>
    <row r="15" spans="2:9" ht="15" customHeight="1" x14ac:dyDescent="0.25">
      <c r="B15" t="s">
        <v>8</v>
      </c>
      <c r="C15">
        <v>70</v>
      </c>
      <c r="D15">
        <v>193</v>
      </c>
      <c r="E15">
        <v>6</v>
      </c>
    </row>
    <row r="16" spans="2:9" ht="15" customHeight="1" x14ac:dyDescent="0.25">
      <c r="B16" s="5" t="s">
        <v>10</v>
      </c>
      <c r="C16" s="5">
        <v>70</v>
      </c>
      <c r="D16" s="5">
        <v>211</v>
      </c>
      <c r="E16" s="5">
        <v>9</v>
      </c>
    </row>
    <row r="17" spans="2:3" ht="15" customHeight="1" x14ac:dyDescent="0.25"/>
    <row r="26" spans="2:3" x14ac:dyDescent="0.25">
      <c r="B26" s="2" t="s">
        <v>0</v>
      </c>
      <c r="C26" s="3" t="s">
        <v>4</v>
      </c>
    </row>
    <row r="27" spans="2:3" x14ac:dyDescent="0.25">
      <c r="B27" s="4" t="s">
        <v>7</v>
      </c>
      <c r="C27" s="12">
        <v>13755</v>
      </c>
    </row>
    <row r="28" spans="2:3" x14ac:dyDescent="0.25">
      <c r="B28" t="s">
        <v>9</v>
      </c>
      <c r="C28" s="13">
        <v>19390</v>
      </c>
    </row>
    <row r="29" spans="2:3" x14ac:dyDescent="0.25">
      <c r="B29" t="s">
        <v>17</v>
      </c>
      <c r="C29" s="13">
        <v>17185</v>
      </c>
    </row>
    <row r="30" spans="2:3" x14ac:dyDescent="0.25">
      <c r="B30" t="s">
        <v>6</v>
      </c>
      <c r="C30" s="13">
        <v>18445</v>
      </c>
    </row>
    <row r="31" spans="2:3" x14ac:dyDescent="0.25">
      <c r="B31" t="s">
        <v>18</v>
      </c>
      <c r="C31" s="13">
        <v>14560</v>
      </c>
    </row>
    <row r="32" spans="2:3" x14ac:dyDescent="0.25">
      <c r="B32" t="s">
        <v>16</v>
      </c>
      <c r="C32" s="13">
        <v>16765</v>
      </c>
    </row>
    <row r="33" spans="2:3" x14ac:dyDescent="0.25">
      <c r="B33" t="s">
        <v>11</v>
      </c>
      <c r="C33" s="13">
        <v>13090</v>
      </c>
    </row>
    <row r="34" spans="2:3" x14ac:dyDescent="0.25">
      <c r="B34" t="s">
        <v>13</v>
      </c>
      <c r="C34" s="13">
        <v>13650</v>
      </c>
    </row>
    <row r="35" spans="2:3" x14ac:dyDescent="0.25">
      <c r="B35" t="s">
        <v>12</v>
      </c>
      <c r="C35" s="13">
        <v>15120</v>
      </c>
    </row>
    <row r="36" spans="2:3" x14ac:dyDescent="0.25">
      <c r="B36" t="s">
        <v>14</v>
      </c>
      <c r="C36" s="13">
        <v>12600</v>
      </c>
    </row>
    <row r="37" spans="2:3" x14ac:dyDescent="0.25">
      <c r="B37" t="s">
        <v>15</v>
      </c>
      <c r="C37" s="13">
        <v>15015</v>
      </c>
    </row>
    <row r="38" spans="2:3" x14ac:dyDescent="0.25">
      <c r="B38" t="s">
        <v>8</v>
      </c>
      <c r="C38" s="13">
        <v>14140</v>
      </c>
    </row>
    <row r="39" spans="2:3" x14ac:dyDescent="0.25">
      <c r="B39" s="5" t="s">
        <v>10</v>
      </c>
      <c r="C39" s="14">
        <v>15715</v>
      </c>
    </row>
  </sheetData>
  <sortState xmlns:xlrd2="http://schemas.microsoft.com/office/spreadsheetml/2017/richdata2" ref="B27:C39">
    <sortCondition ref="C27:C39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Funções</vt:lpstr>
      <vt:lpstr>Funções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Giovany Almeida</cp:lastModifiedBy>
  <dcterms:created xsi:type="dcterms:W3CDTF">2021-02-01T18:02:22Z</dcterms:created>
  <dcterms:modified xsi:type="dcterms:W3CDTF">2024-03-04T20:54:48Z</dcterms:modified>
</cp:coreProperties>
</file>