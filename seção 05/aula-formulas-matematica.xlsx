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05\"/>
    </mc:Choice>
  </mc:AlternateContent>
  <xr:revisionPtr revIDLastSave="0" documentId="13_ncr:1_{6529AADF-02D8-45E4-971B-62672678473B}" xr6:coauthVersionLast="47" xr6:coauthVersionMax="47" xr10:uidLastSave="{00000000-0000-0000-0000-000000000000}"/>
  <bookViews>
    <workbookView xWindow="-120" yWindow="-120" windowWidth="20730" windowHeight="11160" activeTab="4" xr2:uid="{9677FD8D-6660-41E5-9A81-FFEA2AD51EE9}"/>
  </bookViews>
  <sheets>
    <sheet name="Início" sheetId="8" r:id="rId1"/>
    <sheet name="Cad_Empresa" sheetId="9" r:id="rId2"/>
    <sheet name="Cad_Veículos" sheetId="10" r:id="rId3"/>
    <sheet name="Cad_Motorista" sheetId="11" r:id="rId4"/>
    <sheet name="Ind_Km_Veículos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2" l="1"/>
  <c r="F5" i="12"/>
  <c r="D5" i="12"/>
  <c r="O10" i="12"/>
  <c r="O11" i="12"/>
  <c r="O9" i="12"/>
  <c r="C13" i="12"/>
  <c r="D13" i="12"/>
  <c r="E13" i="12"/>
  <c r="F13" i="12"/>
  <c r="G13" i="12"/>
  <c r="H13" i="12"/>
  <c r="I13" i="12"/>
  <c r="J13" i="12"/>
  <c r="K13" i="12"/>
  <c r="L13" i="12"/>
  <c r="M13" i="12"/>
  <c r="B13" i="12"/>
  <c r="N10" i="12"/>
  <c r="N11" i="12"/>
  <c r="N9" i="12"/>
  <c r="N13" i="12" s="1"/>
  <c r="C12" i="12"/>
  <c r="D12" i="12"/>
  <c r="E12" i="12"/>
  <c r="F12" i="12"/>
  <c r="G12" i="12"/>
  <c r="H12" i="12"/>
  <c r="I12" i="12"/>
  <c r="J12" i="12"/>
  <c r="K12" i="12"/>
  <c r="L12" i="12"/>
  <c r="M12" i="12"/>
  <c r="B12" i="12"/>
  <c r="O12" i="12" s="1"/>
  <c r="J7" i="10"/>
  <c r="I7" i="10"/>
  <c r="K7" i="10" s="1"/>
  <c r="N12" i="12" l="1"/>
  <c r="B5" i="12" s="1"/>
  <c r="H8" i="11"/>
  <c r="H7" i="11"/>
  <c r="J6" i="10"/>
  <c r="I6" i="10"/>
  <c r="K6" i="10" s="1"/>
  <c r="J5" i="10" l="1"/>
  <c r="I5" i="10"/>
  <c r="K5" i="10" l="1"/>
  <c r="M25" i="8"/>
  <c r="H5" i="11" l="1"/>
  <c r="H6" i="11"/>
  <c r="B16" i="8"/>
  <c r="B9" i="8"/>
  <c r="B6" i="8"/>
</calcChain>
</file>

<file path=xl/sharedStrings.xml><?xml version="1.0" encoding="utf-8"?>
<sst xmlns="http://schemas.openxmlformats.org/spreadsheetml/2006/main" count="77" uniqueCount="68">
  <si>
    <t>EMPRESA</t>
  </si>
  <si>
    <t>GESTOR RESPONSÁVEL</t>
  </si>
  <si>
    <t>Nome de fantasia da empresa:</t>
  </si>
  <si>
    <t>Nome completo do gestor da empresa:</t>
  </si>
  <si>
    <t>transportadora rápida web</t>
  </si>
  <si>
    <t>ronald ballow</t>
  </si>
  <si>
    <t>Endereço:</t>
  </si>
  <si>
    <t>Número:</t>
  </si>
  <si>
    <t>Cidade:</t>
  </si>
  <si>
    <t>ENDEREÇO</t>
  </si>
  <si>
    <t>rua do educador</t>
  </si>
  <si>
    <t>uberlândia</t>
  </si>
  <si>
    <t>Código</t>
  </si>
  <si>
    <t>Placa</t>
  </si>
  <si>
    <t>Marca</t>
  </si>
  <si>
    <t>Modelo</t>
  </si>
  <si>
    <t>Combustível</t>
  </si>
  <si>
    <t>Idade</t>
  </si>
  <si>
    <t>Ano Fabricação</t>
  </si>
  <si>
    <t>Data da Compra</t>
  </si>
  <si>
    <t>Estado da Compra</t>
  </si>
  <si>
    <t>OPM-7610</t>
  </si>
  <si>
    <t>Chevrolet</t>
  </si>
  <si>
    <t>Cobalt LTZ 1.8</t>
  </si>
  <si>
    <t>Flex</t>
  </si>
  <si>
    <t>Novo</t>
  </si>
  <si>
    <t>Nome</t>
  </si>
  <si>
    <t>Endereço</t>
  </si>
  <si>
    <t>Telefone</t>
  </si>
  <si>
    <t>CNH</t>
  </si>
  <si>
    <t>Categoria</t>
  </si>
  <si>
    <t>Vencimento</t>
  </si>
  <si>
    <t>Alberto Cunha Novaes</t>
  </si>
  <si>
    <t>Rua Jambolão, 25</t>
  </si>
  <si>
    <t>D</t>
  </si>
  <si>
    <t>Provável Ano da Venda</t>
  </si>
  <si>
    <t>Luis Gonzaga Cunha</t>
  </si>
  <si>
    <t>Rua Ipês, 345</t>
  </si>
  <si>
    <t>AE</t>
  </si>
  <si>
    <t>Prioridade na Venda</t>
  </si>
  <si>
    <t>AAA-1234</t>
  </si>
  <si>
    <t>Fiat</t>
  </si>
  <si>
    <t>Argo 1.4</t>
  </si>
  <si>
    <t>Gasolina</t>
  </si>
  <si>
    <t>Situação da CNH</t>
  </si>
  <si>
    <t>Veículo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</si>
  <si>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</si>
  <si>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</si>
  <si>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</si>
  <si>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</si>
  <si>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</si>
  <si>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</si>
  <si>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</si>
  <si>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</si>
  <si>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</si>
  <si>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</si>
  <si>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</si>
  <si>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</si>
  <si>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</si>
  <si>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Ano</t>
  </si>
  <si>
    <t>BBB-0987</t>
  </si>
  <si>
    <t>Volkswagen</t>
  </si>
  <si>
    <t>Gol 1.0</t>
  </si>
  <si>
    <t>Quilômetros Rodados
Total da Frota</t>
  </si>
  <si>
    <t>Maior Quilometragem
Mensal</t>
  </si>
  <si>
    <t>Média</t>
  </si>
  <si>
    <t>Menor Quilometragem
Mensal</t>
  </si>
  <si>
    <t>Número de Veículos
da Frota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</si>
</sst>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\(##\)\ 0\ 0000&quot;-&quot;0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7" tint="-0.249977111117893"/>
      <name val="Tahoma"/>
      <family val="2"/>
    </font>
    <font>
      <sz val="10"/>
      <color theme="4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vertical="center"/>
    </xf>
    <xf numFmtId="0" fontId="1" fillId="3" borderId="0" xfId="0" applyFont="1" applyFill="1"/>
    <xf numFmtId="0" fontId="1" fillId="2" borderId="0" xfId="0" applyFont="1" applyFill="1"/>
    <xf numFmtId="0" fontId="2" fillId="0" borderId="0" xfId="0" applyFont="1"/>
    <xf numFmtId="0" fontId="3" fillId="2" borderId="0" xfId="0" applyFont="1" applyFill="1" applyProtection="1">
      <protection locked="0"/>
    </xf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right" wrapText="1"/>
    </xf>
    <xf numFmtId="0" fontId="1" fillId="4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right" vertical="center"/>
    </xf>
    <xf numFmtId="0" fontId="3" fillId="0" borderId="0" xfId="0" applyFont="1"/>
    <xf numFmtId="165" fontId="3" fillId="0" borderId="0" xfId="0" applyNumberFormat="1" applyFont="1" applyAlignment="1">
      <alignment horizontal="left" vertical="center"/>
    </xf>
    <xf numFmtId="0" fontId="3" fillId="2" borderId="0" xfId="0" applyFont="1" applyFill="1" applyAlignment="1" applyProtection="1">
      <alignment horizontal="left"/>
      <protection locked="0"/>
    </xf>
    <xf numFmtId="1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right" vertic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3" fontId="3" fillId="4" borderId="0" xfId="0" applyNumberFormat="1" applyFont="1" applyFill="1" applyAlignment="1">
      <alignment horizontal="right" vertical="center"/>
    </xf>
    <xf numFmtId="4" fontId="3" fillId="4" borderId="0" xfId="0" applyNumberFormat="1" applyFont="1" applyFill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/>
    </xf>
    <xf numFmtId="0" fontId="1" fillId="4" borderId="0" xfId="0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d_Km_Ve&#237;culos!O1"/><Relationship Id="rId2" Type="http://schemas.openxmlformats.org/officeDocument/2006/relationships/hyperlink" Target="#Cad_Empresa!O1"/><Relationship Id="rId1" Type="http://schemas.openxmlformats.org/officeDocument/2006/relationships/hyperlink" Target="#In&#237;cio!O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d_Km_Ve&#237;culos!O1"/><Relationship Id="rId2" Type="http://schemas.openxmlformats.org/officeDocument/2006/relationships/hyperlink" Target="#Cad_Empresa!O1"/><Relationship Id="rId1" Type="http://schemas.openxmlformats.org/officeDocument/2006/relationships/hyperlink" Target="#In&#237;cio!O1"/><Relationship Id="rId5" Type="http://schemas.openxmlformats.org/officeDocument/2006/relationships/hyperlink" Target="#Cad_Motorista!O1"/><Relationship Id="rId4" Type="http://schemas.openxmlformats.org/officeDocument/2006/relationships/hyperlink" Target="#Cad_Ve&#237;culos!O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d_Km_Ve&#237;culos!O1"/><Relationship Id="rId2" Type="http://schemas.openxmlformats.org/officeDocument/2006/relationships/hyperlink" Target="#Cad_Empresa!O1"/><Relationship Id="rId1" Type="http://schemas.openxmlformats.org/officeDocument/2006/relationships/hyperlink" Target="#In&#237;cio!O1"/><Relationship Id="rId5" Type="http://schemas.openxmlformats.org/officeDocument/2006/relationships/hyperlink" Target="#Cad_Motorista!O1"/><Relationship Id="rId4" Type="http://schemas.openxmlformats.org/officeDocument/2006/relationships/hyperlink" Target="#Cad_Ve&#237;culos!O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d_Km_Ve&#237;culos!O1"/><Relationship Id="rId2" Type="http://schemas.openxmlformats.org/officeDocument/2006/relationships/hyperlink" Target="#Cad_Empresa!O1"/><Relationship Id="rId1" Type="http://schemas.openxmlformats.org/officeDocument/2006/relationships/hyperlink" Target="#In&#237;cio!O1"/><Relationship Id="rId5" Type="http://schemas.openxmlformats.org/officeDocument/2006/relationships/hyperlink" Target="#Cad_Motorista!O1"/><Relationship Id="rId4" Type="http://schemas.openxmlformats.org/officeDocument/2006/relationships/hyperlink" Target="#Cad_Ve&#237;culos!O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Ind_Km_Ve&#237;culos!O1"/><Relationship Id="rId2" Type="http://schemas.openxmlformats.org/officeDocument/2006/relationships/hyperlink" Target="#Cad_Empresa!O1"/><Relationship Id="rId1" Type="http://schemas.openxmlformats.org/officeDocument/2006/relationships/hyperlink" Target="#In&#237;cio!O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342900</xdr:colOff>
      <xdr:row>0</xdr:row>
      <xdr:rowOff>142875</xdr:rowOff>
    </xdr:from>
    <xdr:to>
      <xdr:col>4</xdr:col>
      <xdr:colOff>123825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BA0FC6-3102-4105-B76E-A3425C0258A0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2</xdr:col>
      <xdr:colOff>58335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9F412B0-641D-4F8B-B908-24115BAD6C2C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4</xdr:col>
      <xdr:colOff>147637</xdr:colOff>
      <xdr:row>0</xdr:row>
      <xdr:rowOff>142875</xdr:rowOff>
    </xdr:from>
    <xdr:to>
      <xdr:col>5</xdr:col>
      <xdr:colOff>757237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F631DB-37CE-486B-B435-8473605BF212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5</xdr:col>
      <xdr:colOff>781049</xdr:colOff>
      <xdr:row>0</xdr:row>
      <xdr:rowOff>142875</xdr:rowOff>
    </xdr:from>
    <xdr:to>
      <xdr:col>7</xdr:col>
      <xdr:colOff>561974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3C08429E-7AEF-47DA-9312-B3EFFFD47D63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7</xdr:col>
      <xdr:colOff>585786</xdr:colOff>
      <xdr:row>0</xdr:row>
      <xdr:rowOff>142875</xdr:rowOff>
    </xdr:from>
    <xdr:to>
      <xdr:col>9</xdr:col>
      <xdr:colOff>366711</xdr:colOff>
      <xdr:row>0</xdr:row>
      <xdr:rowOff>502875</xdr:rowOff>
    </xdr:to>
    <xdr:sp macro="" textlink="">
      <xdr:nvSpPr>
        <xdr:cNvPr id="6" name="Retângulo: Cantos Superiores Recort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B3F770-62EA-44CF-A1B6-CBDB1F0154E1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Indicadores</a:t>
          </a:r>
        </a:p>
      </xdr:txBody>
    </xdr:sp>
    <xdr:clientData/>
  </xdr:twoCellAnchor>
  <xdr:twoCellAnchor editAs="absolute">
    <xdr:from>
      <xdr:col>9</xdr:col>
      <xdr:colOff>390525</xdr:colOff>
      <xdr:row>0</xdr:row>
      <xdr:rowOff>142875</xdr:rowOff>
    </xdr:from>
    <xdr:to>
      <xdr:col>11</xdr:col>
      <xdr:colOff>171450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2899AFD7-F534-4291-A4B0-8AAF42D3C45B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342900</xdr:colOff>
      <xdr:row>0</xdr:row>
      <xdr:rowOff>142875</xdr:rowOff>
    </xdr:from>
    <xdr:to>
      <xdr:col>4</xdr:col>
      <xdr:colOff>123825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627734-0663-4FA9-8780-F55E760F1049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2</xdr:col>
      <xdr:colOff>58335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C11C314-5AC1-4502-847C-2E61C5CAC00B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4</xdr:col>
      <xdr:colOff>147637</xdr:colOff>
      <xdr:row>0</xdr:row>
      <xdr:rowOff>142875</xdr:rowOff>
    </xdr:from>
    <xdr:to>
      <xdr:col>5</xdr:col>
      <xdr:colOff>757237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18AF23-8EA1-4733-ADD0-8BD8E14326F9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5</xdr:col>
      <xdr:colOff>781049</xdr:colOff>
      <xdr:row>0</xdr:row>
      <xdr:rowOff>142875</xdr:rowOff>
    </xdr:from>
    <xdr:to>
      <xdr:col>7</xdr:col>
      <xdr:colOff>561974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B68638E9-237B-4AB4-BD76-E5FF66A2646F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7</xdr:col>
      <xdr:colOff>585786</xdr:colOff>
      <xdr:row>0</xdr:row>
      <xdr:rowOff>142875</xdr:rowOff>
    </xdr:from>
    <xdr:to>
      <xdr:col>9</xdr:col>
      <xdr:colOff>366711</xdr:colOff>
      <xdr:row>0</xdr:row>
      <xdr:rowOff>502875</xdr:rowOff>
    </xdr:to>
    <xdr:sp macro="" textlink="">
      <xdr:nvSpPr>
        <xdr:cNvPr id="6" name="Retângulo: Cantos Superiores Recort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A4E03F-FBDB-42CE-9CEF-F8500D7571E9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Indicadores</a:t>
          </a:r>
        </a:p>
      </xdr:txBody>
    </xdr:sp>
    <xdr:clientData/>
  </xdr:twoCellAnchor>
  <xdr:twoCellAnchor editAs="absolute">
    <xdr:from>
      <xdr:col>9</xdr:col>
      <xdr:colOff>390525</xdr:colOff>
      <xdr:row>0</xdr:row>
      <xdr:rowOff>142875</xdr:rowOff>
    </xdr:from>
    <xdr:to>
      <xdr:col>11</xdr:col>
      <xdr:colOff>171450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F8C2157E-B594-4473-AB0A-20088837B6C5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1</xdr:row>
      <xdr:rowOff>104775</xdr:rowOff>
    </xdr:from>
    <xdr:to>
      <xdr:col>2</xdr:col>
      <xdr:colOff>314100</xdr:colOff>
      <xdr:row>2</xdr:row>
      <xdr:rowOff>11775</xdr:rowOff>
    </xdr:to>
    <xdr:sp macro="" textlink="">
      <xdr:nvSpPr>
        <xdr:cNvPr id="8" name="Retângulo: Cantos Superiores Recort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024708-7F6B-4F06-A977-802C798E7611}"/>
            </a:ext>
          </a:extLst>
        </xdr:cNvPr>
        <xdr:cNvSpPr/>
      </xdr:nvSpPr>
      <xdr:spPr>
        <a:xfrm>
          <a:off x="1714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Empresa</a:t>
          </a:r>
        </a:p>
      </xdr:txBody>
    </xdr:sp>
    <xdr:clientData/>
  </xdr:twoCellAnchor>
  <xdr:twoCellAnchor editAs="absolute">
    <xdr:from>
      <xdr:col>2</xdr:col>
      <xdr:colOff>342900</xdr:colOff>
      <xdr:row>1</xdr:row>
      <xdr:rowOff>104775</xdr:rowOff>
    </xdr:from>
    <xdr:to>
      <xdr:col>4</xdr:col>
      <xdr:colOff>485550</xdr:colOff>
      <xdr:row>2</xdr:row>
      <xdr:rowOff>11775</xdr:rowOff>
    </xdr:to>
    <xdr:sp macro="" textlink="">
      <xdr:nvSpPr>
        <xdr:cNvPr id="9" name="Retângulo: Cantos Superiores Recort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871882-370C-4E6B-9ED5-6934223D9A2A}"/>
            </a:ext>
          </a:extLst>
        </xdr:cNvPr>
        <xdr:cNvSpPr/>
      </xdr:nvSpPr>
      <xdr:spPr>
        <a:xfrm>
          <a:off x="20002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Veículos</a:t>
          </a:r>
        </a:p>
      </xdr:txBody>
    </xdr:sp>
    <xdr:clientData/>
  </xdr:twoCellAnchor>
  <xdr:twoCellAnchor editAs="absolute">
    <xdr:from>
      <xdr:col>4</xdr:col>
      <xdr:colOff>514350</xdr:colOff>
      <xdr:row>1</xdr:row>
      <xdr:rowOff>104775</xdr:rowOff>
    </xdr:from>
    <xdr:to>
      <xdr:col>6</xdr:col>
      <xdr:colOff>657000</xdr:colOff>
      <xdr:row>2</xdr:row>
      <xdr:rowOff>11775</xdr:rowOff>
    </xdr:to>
    <xdr:sp macro="" textlink="">
      <xdr:nvSpPr>
        <xdr:cNvPr id="10" name="Retângulo: Cantos Superiores Recort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4CEA9A-4C88-4133-9DF5-BE5DB64BED22}"/>
            </a:ext>
          </a:extLst>
        </xdr:cNvPr>
        <xdr:cNvSpPr/>
      </xdr:nvSpPr>
      <xdr:spPr>
        <a:xfrm>
          <a:off x="38290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Motoristas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542925</xdr:colOff>
      <xdr:row>0</xdr:row>
      <xdr:rowOff>142875</xdr:rowOff>
    </xdr:from>
    <xdr:to>
      <xdr:col>3</xdr:col>
      <xdr:colOff>552450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EF660-7474-4CD1-B077-0422EA1DE591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2</xdr:col>
      <xdr:colOff>258360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6FDE091-B1C0-4486-BEC7-834E97580F0C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3</xdr:col>
      <xdr:colOff>576262</xdr:colOff>
      <xdr:row>0</xdr:row>
      <xdr:rowOff>142875</xdr:rowOff>
    </xdr:from>
    <xdr:to>
      <xdr:col>4</xdr:col>
      <xdr:colOff>585787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9C9295-0E79-43A4-A139-C0D744B4C204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4</xdr:col>
      <xdr:colOff>609599</xdr:colOff>
      <xdr:row>0</xdr:row>
      <xdr:rowOff>142875</xdr:rowOff>
    </xdr:from>
    <xdr:to>
      <xdr:col>6</xdr:col>
      <xdr:colOff>390524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7C5A30B4-9A56-48C5-A173-5F0E10A7AB7E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6</xdr:col>
      <xdr:colOff>414336</xdr:colOff>
      <xdr:row>0</xdr:row>
      <xdr:rowOff>142875</xdr:rowOff>
    </xdr:from>
    <xdr:to>
      <xdr:col>8</xdr:col>
      <xdr:colOff>195261</xdr:colOff>
      <xdr:row>0</xdr:row>
      <xdr:rowOff>502875</xdr:rowOff>
    </xdr:to>
    <xdr:sp macro="" textlink="">
      <xdr:nvSpPr>
        <xdr:cNvPr id="6" name="Retângulo: Cantos Superiores Recort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12ED82-1966-40CD-9E3C-05EF439074E8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Indicadores</a:t>
          </a:r>
        </a:p>
      </xdr:txBody>
    </xdr:sp>
    <xdr:clientData/>
  </xdr:twoCellAnchor>
  <xdr:twoCellAnchor editAs="absolute">
    <xdr:from>
      <xdr:col>8</xdr:col>
      <xdr:colOff>219075</xdr:colOff>
      <xdr:row>0</xdr:row>
      <xdr:rowOff>142875</xdr:rowOff>
    </xdr:from>
    <xdr:to>
      <xdr:col>10</xdr:col>
      <xdr:colOff>333375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3E0851EE-3980-4CF3-9523-FD6F20A09F57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1</xdr:row>
      <xdr:rowOff>104775</xdr:rowOff>
    </xdr:from>
    <xdr:to>
      <xdr:col>2</xdr:col>
      <xdr:colOff>514125</xdr:colOff>
      <xdr:row>2</xdr:row>
      <xdr:rowOff>11775</xdr:rowOff>
    </xdr:to>
    <xdr:sp macro="" textlink="">
      <xdr:nvSpPr>
        <xdr:cNvPr id="8" name="Retângulo: Cantos Superiores Recort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BE3D7A-4446-4BEA-A7CB-DB25B6586066}"/>
            </a:ext>
          </a:extLst>
        </xdr:cNvPr>
        <xdr:cNvSpPr/>
      </xdr:nvSpPr>
      <xdr:spPr>
        <a:xfrm>
          <a:off x="1714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Empresa</a:t>
          </a:r>
        </a:p>
      </xdr:txBody>
    </xdr:sp>
    <xdr:clientData/>
  </xdr:twoCellAnchor>
  <xdr:twoCellAnchor editAs="absolute">
    <xdr:from>
      <xdr:col>2</xdr:col>
      <xdr:colOff>552450</xdr:colOff>
      <xdr:row>1</xdr:row>
      <xdr:rowOff>104775</xdr:rowOff>
    </xdr:from>
    <xdr:to>
      <xdr:col>3</xdr:col>
      <xdr:colOff>923700</xdr:colOff>
      <xdr:row>2</xdr:row>
      <xdr:rowOff>11775</xdr:rowOff>
    </xdr:to>
    <xdr:sp macro="" textlink="">
      <xdr:nvSpPr>
        <xdr:cNvPr id="9" name="Retângulo: Cantos Superiores Recort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659196-ECF7-4D92-8830-DC4A35CF8B23}"/>
            </a:ext>
          </a:extLst>
        </xdr:cNvPr>
        <xdr:cNvSpPr/>
      </xdr:nvSpPr>
      <xdr:spPr>
        <a:xfrm>
          <a:off x="2009775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Veículos</a:t>
          </a:r>
        </a:p>
      </xdr:txBody>
    </xdr:sp>
    <xdr:clientData/>
  </xdr:twoCellAnchor>
  <xdr:twoCellAnchor editAs="absolute">
    <xdr:from>
      <xdr:col>3</xdr:col>
      <xdr:colOff>962025</xdr:colOff>
      <xdr:row>1</xdr:row>
      <xdr:rowOff>104775</xdr:rowOff>
    </xdr:from>
    <xdr:to>
      <xdr:col>5</xdr:col>
      <xdr:colOff>504600</xdr:colOff>
      <xdr:row>2</xdr:row>
      <xdr:rowOff>11775</xdr:rowOff>
    </xdr:to>
    <xdr:sp macro="" textlink="">
      <xdr:nvSpPr>
        <xdr:cNvPr id="10" name="Retângulo: Cantos Superiores Recort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765B02A-B454-4EB9-8653-55C085C8D0BB}"/>
            </a:ext>
          </a:extLst>
        </xdr:cNvPr>
        <xdr:cNvSpPr/>
      </xdr:nvSpPr>
      <xdr:spPr>
        <a:xfrm>
          <a:off x="384810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Motoristas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1371600</xdr:colOff>
      <xdr:row>0</xdr:row>
      <xdr:rowOff>142875</xdr:rowOff>
    </xdr:from>
    <xdr:to>
      <xdr:col>2</xdr:col>
      <xdr:colOff>647700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7357EC-8C7C-41E6-BC98-40CF0DB7E1CC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1</xdr:col>
      <xdr:colOff>1087035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273CD41-0863-4D4B-AD5E-C2F31D84A70C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2</xdr:col>
      <xdr:colOff>671512</xdr:colOff>
      <xdr:row>0</xdr:row>
      <xdr:rowOff>142875</xdr:rowOff>
    </xdr:from>
    <xdr:to>
      <xdr:col>2</xdr:col>
      <xdr:colOff>2109787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E7789A-574B-4EF5-AC20-13EE21124EE6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2</xdr:col>
      <xdr:colOff>2133599</xdr:colOff>
      <xdr:row>0</xdr:row>
      <xdr:rowOff>142875</xdr:rowOff>
    </xdr:from>
    <xdr:to>
      <xdr:col>4</xdr:col>
      <xdr:colOff>180974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B93ABDEB-7E13-4C91-95D9-9FB5F6B1CC79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4</xdr:col>
      <xdr:colOff>204786</xdr:colOff>
      <xdr:row>0</xdr:row>
      <xdr:rowOff>142875</xdr:rowOff>
    </xdr:from>
    <xdr:to>
      <xdr:col>5</xdr:col>
      <xdr:colOff>414336</xdr:colOff>
      <xdr:row>0</xdr:row>
      <xdr:rowOff>502875</xdr:rowOff>
    </xdr:to>
    <xdr:sp macro="" textlink="">
      <xdr:nvSpPr>
        <xdr:cNvPr id="6" name="Retângulo: Cantos Superiores Recort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22967A-FF0E-4073-8C69-74EF7F36C182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Indicadores</a:t>
          </a:r>
        </a:p>
      </xdr:txBody>
    </xdr:sp>
    <xdr:clientData/>
  </xdr:twoCellAnchor>
  <xdr:twoCellAnchor editAs="absolute">
    <xdr:from>
      <xdr:col>5</xdr:col>
      <xdr:colOff>438150</xdr:colOff>
      <xdr:row>0</xdr:row>
      <xdr:rowOff>142875</xdr:rowOff>
    </xdr:from>
    <xdr:to>
      <xdr:col>7</xdr:col>
      <xdr:colOff>419100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875BB76A-28F7-4C24-9428-5CF75AB39CDC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1</xdr:row>
      <xdr:rowOff>104775</xdr:rowOff>
    </xdr:from>
    <xdr:to>
      <xdr:col>1</xdr:col>
      <xdr:colOff>1342800</xdr:colOff>
      <xdr:row>2</xdr:row>
      <xdr:rowOff>11775</xdr:rowOff>
    </xdr:to>
    <xdr:sp macro="" textlink="">
      <xdr:nvSpPr>
        <xdr:cNvPr id="8" name="Retângulo: Cantos Superiores Recort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A0C125-7FA2-42DD-A022-E130DCF31A2C}"/>
            </a:ext>
          </a:extLst>
        </xdr:cNvPr>
        <xdr:cNvSpPr/>
      </xdr:nvSpPr>
      <xdr:spPr>
        <a:xfrm>
          <a:off x="1714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Empresa</a:t>
          </a:r>
        </a:p>
      </xdr:txBody>
    </xdr:sp>
    <xdr:clientData/>
  </xdr:twoCellAnchor>
  <xdr:twoCellAnchor editAs="absolute">
    <xdr:from>
      <xdr:col>1</xdr:col>
      <xdr:colOff>1376363</xdr:colOff>
      <xdr:row>1</xdr:row>
      <xdr:rowOff>104775</xdr:rowOff>
    </xdr:from>
    <xdr:to>
      <xdr:col>2</xdr:col>
      <xdr:colOff>1014188</xdr:colOff>
      <xdr:row>2</xdr:row>
      <xdr:rowOff>11775</xdr:rowOff>
    </xdr:to>
    <xdr:sp macro="" textlink="">
      <xdr:nvSpPr>
        <xdr:cNvPr id="9" name="Retângulo: Cantos Superiores Recort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ED9A2C-2351-485B-BE55-EACC611E479D}"/>
            </a:ext>
          </a:extLst>
        </xdr:cNvPr>
        <xdr:cNvSpPr/>
      </xdr:nvSpPr>
      <xdr:spPr>
        <a:xfrm>
          <a:off x="2005013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Veículos</a:t>
          </a:r>
        </a:p>
      </xdr:txBody>
    </xdr:sp>
    <xdr:clientData/>
  </xdr:twoCellAnchor>
  <xdr:twoCellAnchor editAs="absolute">
    <xdr:from>
      <xdr:col>2</xdr:col>
      <xdr:colOff>1047750</xdr:colOff>
      <xdr:row>1</xdr:row>
      <xdr:rowOff>104775</xdr:rowOff>
    </xdr:from>
    <xdr:to>
      <xdr:col>3</xdr:col>
      <xdr:colOff>685575</xdr:colOff>
      <xdr:row>2</xdr:row>
      <xdr:rowOff>11775</xdr:rowOff>
    </xdr:to>
    <xdr:sp macro="" textlink="">
      <xdr:nvSpPr>
        <xdr:cNvPr id="10" name="Retângulo: Cantos Superiores Recort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C9340D-B862-4EFA-A6D8-EE3E27D0E02F}"/>
            </a:ext>
          </a:extLst>
        </xdr:cNvPr>
        <xdr:cNvSpPr/>
      </xdr:nvSpPr>
      <xdr:spPr>
        <a:xfrm>
          <a:off x="3838575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Motoristas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342900</xdr:colOff>
      <xdr:row>0</xdr:row>
      <xdr:rowOff>142875</xdr:rowOff>
    </xdr:from>
    <xdr:to>
      <xdr:col>4</xdr:col>
      <xdr:colOff>123825</xdr:colOff>
      <xdr:row>0</xdr:row>
      <xdr:rowOff>502875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B32614-DFA8-4D74-A7E8-92EE28F31ED9}"/>
            </a:ext>
          </a:extLst>
        </xdr:cNvPr>
        <xdr:cNvSpPr/>
      </xdr:nvSpPr>
      <xdr:spPr>
        <a:xfrm>
          <a:off x="200025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Início</a:t>
          </a:r>
        </a:p>
      </xdr:txBody>
    </xdr:sp>
    <xdr:clientData/>
  </xdr:twoCellAnchor>
  <xdr:twoCellAnchor editAs="absolute">
    <xdr:from>
      <xdr:col>0</xdr:col>
      <xdr:colOff>28575</xdr:colOff>
      <xdr:row>0</xdr:row>
      <xdr:rowOff>28575</xdr:rowOff>
    </xdr:from>
    <xdr:to>
      <xdr:col>2</xdr:col>
      <xdr:colOff>58335</xdr:colOff>
      <xdr:row>0</xdr:row>
      <xdr:rowOff>473056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6D34DA7-6AF5-4A26-B98B-8C901D0AB1BF}"/>
            </a:ext>
          </a:extLst>
        </xdr:cNvPr>
        <xdr:cNvSpPr txBox="1"/>
      </xdr:nvSpPr>
      <xdr:spPr>
        <a:xfrm>
          <a:off x="28575" y="28575"/>
          <a:ext cx="1687110" cy="4444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FF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Gestão</a:t>
          </a:r>
          <a:r>
            <a:rPr lang="pt-BR" sz="1000" baseline="0">
              <a:solidFill>
                <a:schemeClr val="bg1">
                  <a:lumMod val="9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Frotas</a:t>
          </a:r>
          <a:endParaRPr lang="pt-BR" sz="1000">
            <a:solidFill>
              <a:schemeClr val="bg1">
                <a:lumMod val="9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4</xdr:col>
      <xdr:colOff>147637</xdr:colOff>
      <xdr:row>0</xdr:row>
      <xdr:rowOff>142875</xdr:rowOff>
    </xdr:from>
    <xdr:to>
      <xdr:col>5</xdr:col>
      <xdr:colOff>757237</xdr:colOff>
      <xdr:row>0</xdr:row>
      <xdr:rowOff>502875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84E718-ADF1-4D17-8876-F781156FCF2E}"/>
            </a:ext>
          </a:extLst>
        </xdr:cNvPr>
        <xdr:cNvSpPr/>
      </xdr:nvSpPr>
      <xdr:spPr>
        <a:xfrm>
          <a:off x="3462337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Cadastros</a:t>
          </a:r>
        </a:p>
      </xdr:txBody>
    </xdr:sp>
    <xdr:clientData/>
  </xdr:twoCellAnchor>
  <xdr:twoCellAnchor editAs="absolute">
    <xdr:from>
      <xdr:col>5</xdr:col>
      <xdr:colOff>781049</xdr:colOff>
      <xdr:row>0</xdr:row>
      <xdr:rowOff>142875</xdr:rowOff>
    </xdr:from>
    <xdr:to>
      <xdr:col>7</xdr:col>
      <xdr:colOff>561974</xdr:colOff>
      <xdr:row>0</xdr:row>
      <xdr:rowOff>502875</xdr:rowOff>
    </xdr:to>
    <xdr:sp macro="" textlink="">
      <xdr:nvSpPr>
        <xdr:cNvPr id="5" name="Retângulo: Cantos Superiores Recortados 4">
          <a:extLst>
            <a:ext uri="{FF2B5EF4-FFF2-40B4-BE49-F238E27FC236}">
              <a16:creationId xmlns:a16="http://schemas.microsoft.com/office/drawing/2014/main" id="{49F6181B-EB5B-4857-8025-EBD7CE8C2552}"/>
            </a:ext>
          </a:extLst>
        </xdr:cNvPr>
        <xdr:cNvSpPr/>
      </xdr:nvSpPr>
      <xdr:spPr>
        <a:xfrm>
          <a:off x="4924424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Manutenção</a:t>
          </a:r>
        </a:p>
      </xdr:txBody>
    </xdr:sp>
    <xdr:clientData/>
  </xdr:twoCellAnchor>
  <xdr:twoCellAnchor editAs="absolute">
    <xdr:from>
      <xdr:col>7</xdr:col>
      <xdr:colOff>585786</xdr:colOff>
      <xdr:row>0</xdr:row>
      <xdr:rowOff>142875</xdr:rowOff>
    </xdr:from>
    <xdr:to>
      <xdr:col>9</xdr:col>
      <xdr:colOff>366711</xdr:colOff>
      <xdr:row>0</xdr:row>
      <xdr:rowOff>502875</xdr:rowOff>
    </xdr:to>
    <xdr:sp macro="" textlink="">
      <xdr:nvSpPr>
        <xdr:cNvPr id="6" name="Retângulo: Cantos Superiores Recort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A7E9C4-0C14-4286-88D6-C53F97D16949}"/>
            </a:ext>
          </a:extLst>
        </xdr:cNvPr>
        <xdr:cNvSpPr/>
      </xdr:nvSpPr>
      <xdr:spPr>
        <a:xfrm>
          <a:off x="6386511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Indicadores</a:t>
          </a:r>
        </a:p>
      </xdr:txBody>
    </xdr:sp>
    <xdr:clientData/>
  </xdr:twoCellAnchor>
  <xdr:twoCellAnchor editAs="absolute">
    <xdr:from>
      <xdr:col>9</xdr:col>
      <xdr:colOff>390525</xdr:colOff>
      <xdr:row>0</xdr:row>
      <xdr:rowOff>142875</xdr:rowOff>
    </xdr:from>
    <xdr:to>
      <xdr:col>11</xdr:col>
      <xdr:colOff>171450</xdr:colOff>
      <xdr:row>0</xdr:row>
      <xdr:rowOff>502875</xdr:rowOff>
    </xdr:to>
    <xdr:sp macro="" textlink="">
      <xdr:nvSpPr>
        <xdr:cNvPr id="7" name="Retângulo: Cantos Superiores Recortados 6">
          <a:extLst>
            <a:ext uri="{FF2B5EF4-FFF2-40B4-BE49-F238E27FC236}">
              <a16:creationId xmlns:a16="http://schemas.microsoft.com/office/drawing/2014/main" id="{E167F8BE-E0B3-46B8-8155-BB827D604551}"/>
            </a:ext>
          </a:extLst>
        </xdr:cNvPr>
        <xdr:cNvSpPr/>
      </xdr:nvSpPr>
      <xdr:spPr>
        <a:xfrm>
          <a:off x="7848600" y="142875"/>
          <a:ext cx="1438275" cy="360000"/>
        </a:xfrm>
        <a:prstGeom prst="snip2SameRect">
          <a:avLst>
            <a:gd name="adj1" fmla="val 50000"/>
            <a:gd name="adj2" fmla="val 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algn="ctr"/>
          <a:endParaRPr lang="pt-BR" sz="1000" b="0">
            <a:solidFill>
              <a:schemeClr val="accent1">
                <a:lumMod val="50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171450</xdr:colOff>
      <xdr:row>1</xdr:row>
      <xdr:rowOff>104775</xdr:rowOff>
    </xdr:from>
    <xdr:to>
      <xdr:col>2</xdr:col>
      <xdr:colOff>314100</xdr:colOff>
      <xdr:row>2</xdr:row>
      <xdr:rowOff>11775</xdr:rowOff>
    </xdr:to>
    <xdr:sp macro="" textlink="">
      <xdr:nvSpPr>
        <xdr:cNvPr id="8" name="Retângulo: Cantos Superiores Recort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90018C-C134-4F60-A6FE-F3BBD5587D70}"/>
            </a:ext>
          </a:extLst>
        </xdr:cNvPr>
        <xdr:cNvSpPr/>
      </xdr:nvSpPr>
      <xdr:spPr>
        <a:xfrm>
          <a:off x="171450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Quilômetros Rodados</a:t>
          </a:r>
        </a:p>
      </xdr:txBody>
    </xdr:sp>
    <xdr:clientData/>
  </xdr:twoCellAnchor>
  <xdr:twoCellAnchor editAs="absolute">
    <xdr:from>
      <xdr:col>2</xdr:col>
      <xdr:colOff>347663</xdr:colOff>
      <xdr:row>1</xdr:row>
      <xdr:rowOff>104775</xdr:rowOff>
    </xdr:from>
    <xdr:to>
      <xdr:col>4</xdr:col>
      <xdr:colOff>490313</xdr:colOff>
      <xdr:row>2</xdr:row>
      <xdr:rowOff>11775</xdr:rowOff>
    </xdr:to>
    <xdr:sp macro="" textlink="">
      <xdr:nvSpPr>
        <xdr:cNvPr id="9" name="Retângulo: Cantos Superiores Recortados 8">
          <a:extLst>
            <a:ext uri="{FF2B5EF4-FFF2-40B4-BE49-F238E27FC236}">
              <a16:creationId xmlns:a16="http://schemas.microsoft.com/office/drawing/2014/main" id="{1DE96387-781A-4BF4-A11E-E6CB028E5A6B}"/>
            </a:ext>
          </a:extLst>
        </xdr:cNvPr>
        <xdr:cNvSpPr/>
      </xdr:nvSpPr>
      <xdr:spPr>
        <a:xfrm>
          <a:off x="2005013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...</a:t>
          </a:r>
        </a:p>
      </xdr:txBody>
    </xdr:sp>
    <xdr:clientData/>
  </xdr:twoCellAnchor>
  <xdr:twoCellAnchor editAs="absolute">
    <xdr:from>
      <xdr:col>4</xdr:col>
      <xdr:colOff>523875</xdr:colOff>
      <xdr:row>1</xdr:row>
      <xdr:rowOff>104775</xdr:rowOff>
    </xdr:from>
    <xdr:to>
      <xdr:col>6</xdr:col>
      <xdr:colOff>666525</xdr:colOff>
      <xdr:row>2</xdr:row>
      <xdr:rowOff>11775</xdr:rowOff>
    </xdr:to>
    <xdr:sp macro="" textlink="">
      <xdr:nvSpPr>
        <xdr:cNvPr id="10" name="Retângulo: Cantos Superiores Recortados 9">
          <a:extLst>
            <a:ext uri="{FF2B5EF4-FFF2-40B4-BE49-F238E27FC236}">
              <a16:creationId xmlns:a16="http://schemas.microsoft.com/office/drawing/2014/main" id="{ADB96F24-1344-4775-91F6-5799ECAE190E}"/>
            </a:ext>
          </a:extLst>
        </xdr:cNvPr>
        <xdr:cNvSpPr/>
      </xdr:nvSpPr>
      <xdr:spPr>
        <a:xfrm>
          <a:off x="3838575" y="609600"/>
          <a:ext cx="1800000" cy="288000"/>
        </a:xfrm>
        <a:prstGeom prst="snip2SameRect">
          <a:avLst>
            <a:gd name="adj1" fmla="val 50000"/>
            <a:gd name="adj2" fmla="val 0"/>
          </a:avLst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4000" rIns="54000" rtlCol="0" anchor="ctr" anchorCtr="0"/>
        <a:lstStyle/>
        <a:p>
          <a:pPr marL="0" indent="0" algn="ctr"/>
          <a:r>
            <a:rPr lang="pt-BR" sz="1000" b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83BD-F3BF-43E4-9A28-8E259EC6705F}">
  <dimension ref="A1:P25"/>
  <sheetViews>
    <sheetView showGridLines="0" workbookViewId="0">
      <selection activeCell="O1" sqref="O1"/>
    </sheetView>
  </sheetViews>
  <sheetFormatPr defaultColWidth="0" defaultRowHeight="12.75" x14ac:dyDescent="0.2"/>
  <cols>
    <col min="1" max="15" width="12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5" spans="1:15" x14ac:dyDescent="0.2">
      <c r="B5" s="1" t="s">
        <v>0</v>
      </c>
    </row>
    <row r="6" spans="1:15" x14ac:dyDescent="0.2">
      <c r="B6" s="5" t="str">
        <f>UPPER(Cad_Empresa!B6)</f>
        <v>TRANSPORTADORA RÁPIDA WEB</v>
      </c>
    </row>
    <row r="8" spans="1:15" x14ac:dyDescent="0.2">
      <c r="B8" s="1" t="s">
        <v>1</v>
      </c>
    </row>
    <row r="9" spans="1:15" x14ac:dyDescent="0.2">
      <c r="B9" s="5" t="str">
        <f>PROPER(Cad_Empresa!B10)</f>
        <v>Ronald Ballow</v>
      </c>
    </row>
    <row r="15" spans="1:15" x14ac:dyDescent="0.2">
      <c r="B15" s="1" t="s">
        <v>9</v>
      </c>
    </row>
    <row r="16" spans="1:15" x14ac:dyDescent="0.2">
      <c r="B16" s="5" t="str">
        <f>CONCATENATE(PROPER(Cad_Empresa!B14),", ",Cad_Empresa!B18," - ",PROPER(Cad_Empresa!B22))</f>
        <v>Rua Do Educador, 2500 - Uberlândia</v>
      </c>
    </row>
    <row r="25" spans="13:15" ht="15" customHeight="1" x14ac:dyDescent="0.2">
      <c r="M25" s="31">
        <f ca="1">TODAY()</f>
        <v>45328</v>
      </c>
      <c r="N25" s="31"/>
      <c r="O25" s="31"/>
    </row>
  </sheetData>
  <mergeCells count="1">
    <mergeCell ref="M25:O2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D338-352F-44D6-9932-736A440D777F}">
  <dimension ref="A1:P22"/>
  <sheetViews>
    <sheetView showGridLines="0" workbookViewId="0">
      <selection activeCell="O1" sqref="O1"/>
    </sheetView>
  </sheetViews>
  <sheetFormatPr defaultColWidth="0" defaultRowHeight="12.75" x14ac:dyDescent="0.2"/>
  <cols>
    <col min="1" max="15" width="12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5" spans="1:15" x14ac:dyDescent="0.2">
      <c r="B5" s="1" t="s">
        <v>2</v>
      </c>
    </row>
    <row r="6" spans="1:15" x14ac:dyDescent="0.2">
      <c r="B6" s="6" t="s">
        <v>4</v>
      </c>
      <c r="C6" s="4"/>
      <c r="D6" s="4"/>
      <c r="E6" s="4"/>
    </row>
    <row r="9" spans="1:15" x14ac:dyDescent="0.2">
      <c r="B9" s="1" t="s">
        <v>3</v>
      </c>
    </row>
    <row r="10" spans="1:15" x14ac:dyDescent="0.2">
      <c r="B10" s="6" t="s">
        <v>5</v>
      </c>
      <c r="C10" s="4"/>
      <c r="D10" s="4"/>
      <c r="E10" s="4"/>
    </row>
    <row r="13" spans="1:15" x14ac:dyDescent="0.2">
      <c r="B13" s="1" t="s">
        <v>6</v>
      </c>
    </row>
    <row r="14" spans="1:15" x14ac:dyDescent="0.2">
      <c r="B14" s="6" t="s">
        <v>10</v>
      </c>
      <c r="C14" s="4"/>
      <c r="D14" s="4"/>
      <c r="E14" s="4"/>
    </row>
    <row r="17" spans="2:5" x14ac:dyDescent="0.2">
      <c r="B17" s="1" t="s">
        <v>7</v>
      </c>
    </row>
    <row r="18" spans="2:5" x14ac:dyDescent="0.2">
      <c r="B18" s="18">
        <v>2500</v>
      </c>
    </row>
    <row r="21" spans="2:5" x14ac:dyDescent="0.2">
      <c r="B21" s="1" t="s">
        <v>8</v>
      </c>
    </row>
    <row r="22" spans="2:5" x14ac:dyDescent="0.2">
      <c r="B22" s="6" t="s">
        <v>11</v>
      </c>
      <c r="C22" s="4"/>
      <c r="D22" s="4"/>
      <c r="E22" s="4"/>
    </row>
  </sheetData>
  <sheetProtection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196C-9CE3-40B9-AE7D-0ADEF9C03F4E}">
  <dimension ref="A1:P41"/>
  <sheetViews>
    <sheetView showGridLines="0" workbookViewId="0">
      <selection activeCell="O1" sqref="O1"/>
    </sheetView>
  </sheetViews>
  <sheetFormatPr defaultColWidth="0" defaultRowHeight="12.75" x14ac:dyDescent="0.2"/>
  <cols>
    <col min="1" max="1" width="9.42578125" style="1" customWidth="1"/>
    <col min="2" max="2" width="12.42578125" style="1" customWidth="1"/>
    <col min="3" max="4" width="21.42578125" style="1" customWidth="1"/>
    <col min="5" max="8" width="12.42578125" style="1" customWidth="1"/>
    <col min="9" max="9" width="7.42578125" style="1" customWidth="1"/>
    <col min="10" max="13" width="12.42578125" style="1" customWidth="1"/>
    <col min="14" max="14" width="11.42578125" style="1" customWidth="1"/>
    <col min="15" max="15" width="3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ht="25.5" customHeight="1" x14ac:dyDescent="0.2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9" t="s">
        <v>18</v>
      </c>
      <c r="G4" s="7" t="s">
        <v>19</v>
      </c>
      <c r="H4" s="9" t="s">
        <v>20</v>
      </c>
      <c r="I4" s="8" t="s">
        <v>17</v>
      </c>
      <c r="J4" s="8" t="s">
        <v>35</v>
      </c>
      <c r="K4" s="8" t="s">
        <v>39</v>
      </c>
    </row>
    <row r="5" spans="1:15" x14ac:dyDescent="0.2">
      <c r="A5" s="10">
        <v>1</v>
      </c>
      <c r="B5" s="11" t="s">
        <v>21</v>
      </c>
      <c r="C5" s="11" t="s">
        <v>22</v>
      </c>
      <c r="D5" s="11" t="s">
        <v>23</v>
      </c>
      <c r="E5" s="11" t="s">
        <v>24</v>
      </c>
      <c r="F5" s="10">
        <v>2013</v>
      </c>
      <c r="G5" s="13">
        <v>41559</v>
      </c>
      <c r="H5" s="11" t="s">
        <v>25</v>
      </c>
      <c r="I5" s="14">
        <f ca="1">(TODAY()-G5)/365</f>
        <v>10.326027397260274</v>
      </c>
      <c r="J5" s="15">
        <f>YEAR(G5)+5</f>
        <v>2018</v>
      </c>
      <c r="K5" s="20" t="str">
        <f ca="1">IF(I5&gt;5,"Alta","Baixa")</f>
        <v>Alta</v>
      </c>
      <c r="L5" s="12"/>
      <c r="M5" s="12"/>
      <c r="N5" s="12"/>
      <c r="O5" s="12"/>
    </row>
    <row r="6" spans="1:15" x14ac:dyDescent="0.2">
      <c r="A6" s="10">
        <v>2</v>
      </c>
      <c r="B6" s="11" t="s">
        <v>40</v>
      </c>
      <c r="C6" s="11" t="s">
        <v>41</v>
      </c>
      <c r="D6" s="11" t="s">
        <v>42</v>
      </c>
      <c r="E6" s="11" t="s">
        <v>43</v>
      </c>
      <c r="F6" s="10">
        <v>2017</v>
      </c>
      <c r="G6" s="13">
        <v>42883</v>
      </c>
      <c r="H6" s="11" t="s">
        <v>25</v>
      </c>
      <c r="I6" s="14">
        <f ca="1">(TODAY()-G6)/365</f>
        <v>6.6986301369863011</v>
      </c>
      <c r="J6" s="15">
        <f>YEAR(G6)+5</f>
        <v>2022</v>
      </c>
      <c r="K6" s="20" t="str">
        <f ca="1">IF(I6&gt;5,"Alta","Baixa")</f>
        <v>Alta</v>
      </c>
      <c r="L6" s="12"/>
      <c r="M6" s="12"/>
      <c r="N6" s="12"/>
      <c r="O6" s="12"/>
    </row>
    <row r="7" spans="1:15" x14ac:dyDescent="0.2">
      <c r="A7" s="10">
        <v>3</v>
      </c>
      <c r="B7" s="11" t="s">
        <v>60</v>
      </c>
      <c r="C7" s="11" t="s">
        <v>61</v>
      </c>
      <c r="D7" s="11" t="s">
        <v>62</v>
      </c>
      <c r="E7" s="11" t="s">
        <v>24</v>
      </c>
      <c r="F7" s="10">
        <v>2015</v>
      </c>
      <c r="G7" s="13">
        <v>42197</v>
      </c>
      <c r="H7" s="11" t="s">
        <v>25</v>
      </c>
      <c r="I7" s="14">
        <f ca="1">(TODAY()-G7)/365</f>
        <v>8.5780821917808225</v>
      </c>
      <c r="J7" s="15">
        <f>YEAR(G7)+5</f>
        <v>2020</v>
      </c>
      <c r="K7" s="20" t="str">
        <f ca="1">IF(I7&gt;5,"Alta","Baixa")</f>
        <v>Alta</v>
      </c>
      <c r="L7" s="12"/>
      <c r="M7" s="12"/>
      <c r="N7" s="12"/>
      <c r="O7" s="12"/>
    </row>
    <row r="8" spans="1:15" x14ac:dyDescent="0.2">
      <c r="A8" s="10">
        <v>4</v>
      </c>
      <c r="B8" s="11"/>
      <c r="C8" s="11"/>
      <c r="D8" s="11"/>
      <c r="E8" s="11"/>
      <c r="F8" s="10"/>
      <c r="G8" s="13"/>
      <c r="H8" s="11"/>
      <c r="I8" s="14"/>
      <c r="J8" s="15"/>
      <c r="K8" s="12"/>
      <c r="L8" s="12"/>
      <c r="M8" s="12"/>
      <c r="N8" s="12"/>
      <c r="O8" s="12"/>
    </row>
    <row r="9" spans="1:15" x14ac:dyDescent="0.2">
      <c r="A9" s="10">
        <v>5</v>
      </c>
      <c r="B9" s="11"/>
      <c r="C9" s="11"/>
      <c r="D9" s="11"/>
      <c r="E9" s="11"/>
      <c r="F9" s="10"/>
      <c r="G9" s="13"/>
      <c r="H9" s="11"/>
      <c r="I9" s="14"/>
      <c r="J9" s="15"/>
      <c r="K9" s="12"/>
      <c r="L9" s="12"/>
      <c r="M9" s="12"/>
      <c r="N9" s="12"/>
      <c r="O9" s="12"/>
    </row>
    <row r="10" spans="1:15" x14ac:dyDescent="0.2">
      <c r="A10" s="10"/>
      <c r="B10" s="11"/>
      <c r="C10" s="11"/>
      <c r="D10" s="11"/>
      <c r="E10" s="11"/>
      <c r="F10" s="10"/>
      <c r="G10" s="13"/>
      <c r="H10" s="11"/>
      <c r="I10" s="14"/>
      <c r="J10" s="15"/>
      <c r="K10" s="12"/>
      <c r="L10" s="12"/>
      <c r="M10" s="12"/>
      <c r="N10" s="12"/>
      <c r="O10" s="12"/>
    </row>
    <row r="11" spans="1:15" x14ac:dyDescent="0.2">
      <c r="A11" s="10"/>
      <c r="B11" s="11"/>
      <c r="C11" s="11"/>
      <c r="D11" s="11"/>
      <c r="E11" s="11"/>
      <c r="F11" s="10"/>
      <c r="G11" s="13"/>
      <c r="H11" s="11"/>
      <c r="I11" s="14"/>
      <c r="J11" s="15"/>
      <c r="K11" s="12"/>
      <c r="L11" s="12"/>
      <c r="M11" s="12"/>
      <c r="N11" s="12"/>
      <c r="O11" s="12"/>
    </row>
    <row r="12" spans="1:15" x14ac:dyDescent="0.2">
      <c r="A12" s="10"/>
      <c r="B12" s="11"/>
      <c r="C12" s="11"/>
      <c r="D12" s="11"/>
      <c r="E12" s="11"/>
      <c r="F12" s="10"/>
      <c r="G12" s="13"/>
      <c r="H12" s="11"/>
      <c r="I12" s="14"/>
      <c r="J12" s="15"/>
      <c r="K12" s="12"/>
      <c r="L12" s="12"/>
      <c r="M12" s="12"/>
      <c r="N12" s="12"/>
      <c r="O12" s="12"/>
    </row>
    <row r="13" spans="1:15" x14ac:dyDescent="0.2">
      <c r="A13" s="10"/>
      <c r="B13" s="11"/>
      <c r="C13" s="11"/>
      <c r="D13" s="11"/>
      <c r="E13" s="11"/>
      <c r="F13" s="10"/>
      <c r="G13" s="13"/>
      <c r="H13" s="11"/>
      <c r="I13" s="14"/>
      <c r="J13" s="15"/>
      <c r="K13" s="12"/>
      <c r="L13" s="12"/>
      <c r="M13" s="12"/>
      <c r="N13" s="12"/>
      <c r="O13" s="12"/>
    </row>
    <row r="14" spans="1:15" x14ac:dyDescent="0.2">
      <c r="A14" s="10"/>
      <c r="B14" s="11"/>
      <c r="C14" s="11"/>
      <c r="D14" s="11"/>
      <c r="E14" s="11"/>
      <c r="F14" s="10"/>
      <c r="G14" s="13"/>
      <c r="H14" s="11"/>
      <c r="I14" s="14"/>
      <c r="J14" s="15"/>
      <c r="K14" s="12"/>
      <c r="L14" s="12"/>
      <c r="M14" s="12"/>
      <c r="N14" s="12"/>
      <c r="O14" s="12"/>
    </row>
    <row r="15" spans="1:15" x14ac:dyDescent="0.2">
      <c r="A15" s="10"/>
      <c r="B15" s="11"/>
      <c r="C15" s="11"/>
      <c r="D15" s="11"/>
      <c r="E15" s="11"/>
      <c r="F15" s="10"/>
      <c r="G15" s="13"/>
      <c r="H15" s="11"/>
      <c r="I15" s="14"/>
      <c r="J15" s="15"/>
      <c r="K15" s="12"/>
      <c r="L15" s="12"/>
      <c r="M15" s="12"/>
      <c r="N15" s="12"/>
      <c r="O15" s="12"/>
    </row>
    <row r="16" spans="1:15" x14ac:dyDescent="0.2">
      <c r="A16" s="10"/>
      <c r="B16" s="11"/>
      <c r="C16" s="11"/>
      <c r="D16" s="11"/>
      <c r="E16" s="11"/>
      <c r="F16" s="10"/>
      <c r="G16" s="13"/>
      <c r="H16" s="11"/>
      <c r="I16" s="14"/>
      <c r="J16" s="15"/>
      <c r="K16" s="12"/>
      <c r="L16" s="12"/>
      <c r="M16" s="12"/>
      <c r="N16" s="12"/>
      <c r="O16" s="12"/>
    </row>
    <row r="17" spans="1:15" x14ac:dyDescent="0.2">
      <c r="A17" s="10"/>
      <c r="B17" s="11"/>
      <c r="C17" s="11"/>
      <c r="D17" s="11"/>
      <c r="E17" s="11"/>
      <c r="F17" s="10"/>
      <c r="G17" s="13"/>
      <c r="H17" s="11"/>
      <c r="I17" s="14"/>
      <c r="J17" s="15"/>
      <c r="K17" s="12"/>
      <c r="L17" s="12"/>
      <c r="M17" s="12"/>
      <c r="N17" s="12"/>
      <c r="O17" s="12"/>
    </row>
    <row r="18" spans="1:15" x14ac:dyDescent="0.2">
      <c r="A18" s="10"/>
      <c r="B18" s="11"/>
      <c r="C18" s="11"/>
      <c r="D18" s="11"/>
      <c r="E18" s="11"/>
      <c r="F18" s="10"/>
      <c r="G18" s="13"/>
      <c r="H18" s="11"/>
      <c r="I18" s="14"/>
      <c r="J18" s="15"/>
      <c r="K18" s="12"/>
      <c r="L18" s="12"/>
      <c r="M18" s="12"/>
      <c r="N18" s="12"/>
      <c r="O18" s="12"/>
    </row>
    <row r="19" spans="1:15" x14ac:dyDescent="0.2">
      <c r="A19" s="10"/>
      <c r="B19" s="11"/>
      <c r="C19" s="11"/>
      <c r="D19" s="11"/>
      <c r="E19" s="11"/>
      <c r="F19" s="10"/>
      <c r="G19" s="13"/>
      <c r="H19" s="11"/>
      <c r="I19" s="14"/>
      <c r="J19" s="15"/>
      <c r="K19" s="12"/>
      <c r="L19" s="12"/>
      <c r="M19" s="12"/>
      <c r="N19" s="12"/>
      <c r="O19" s="12"/>
    </row>
    <row r="20" spans="1:15" x14ac:dyDescent="0.2">
      <c r="A20" s="10"/>
      <c r="B20" s="11"/>
      <c r="C20" s="11"/>
      <c r="D20" s="11"/>
      <c r="E20" s="11"/>
      <c r="F20" s="10"/>
      <c r="G20" s="13"/>
      <c r="H20" s="11"/>
      <c r="I20" s="14"/>
      <c r="J20" s="15"/>
      <c r="K20" s="12"/>
      <c r="L20" s="12"/>
      <c r="M20" s="12"/>
      <c r="N20" s="12"/>
      <c r="O20" s="12"/>
    </row>
    <row r="21" spans="1:15" x14ac:dyDescent="0.2">
      <c r="A21" s="10"/>
      <c r="B21" s="11"/>
      <c r="C21" s="11"/>
      <c r="D21" s="11"/>
      <c r="E21" s="11"/>
      <c r="F21" s="10"/>
      <c r="G21" s="13"/>
      <c r="H21" s="11"/>
      <c r="I21" s="14"/>
      <c r="J21" s="15"/>
      <c r="K21" s="12"/>
      <c r="L21" s="12"/>
      <c r="M21" s="12"/>
      <c r="N21" s="12"/>
      <c r="O21" s="12"/>
    </row>
    <row r="22" spans="1:15" x14ac:dyDescent="0.2">
      <c r="A22" s="10"/>
      <c r="B22" s="11"/>
      <c r="C22" s="11"/>
      <c r="D22" s="11"/>
      <c r="E22" s="11"/>
      <c r="F22" s="10"/>
      <c r="G22" s="13"/>
      <c r="H22" s="11"/>
      <c r="I22" s="14"/>
      <c r="J22" s="15"/>
      <c r="K22" s="12"/>
      <c r="L22" s="12"/>
      <c r="M22" s="12"/>
      <c r="N22" s="12"/>
      <c r="O22" s="12"/>
    </row>
    <row r="23" spans="1:15" x14ac:dyDescent="0.2">
      <c r="A23" s="10"/>
      <c r="B23" s="11"/>
      <c r="C23" s="11"/>
      <c r="D23" s="11"/>
      <c r="E23" s="11"/>
      <c r="F23" s="10"/>
      <c r="G23" s="13"/>
      <c r="H23" s="11"/>
      <c r="I23" s="14"/>
      <c r="J23" s="15"/>
      <c r="K23" s="12"/>
      <c r="L23" s="12"/>
      <c r="M23" s="12"/>
      <c r="N23" s="12"/>
      <c r="O23" s="12"/>
    </row>
    <row r="24" spans="1:15" x14ac:dyDescent="0.2">
      <c r="A24" s="10"/>
      <c r="B24" s="11"/>
      <c r="C24" s="11"/>
      <c r="D24" s="11"/>
      <c r="E24" s="11"/>
      <c r="F24" s="10"/>
      <c r="G24" s="13"/>
      <c r="H24" s="11"/>
      <c r="I24" s="14"/>
      <c r="J24" s="15"/>
      <c r="K24" s="12"/>
      <c r="L24" s="12"/>
      <c r="M24" s="12"/>
      <c r="N24" s="12"/>
      <c r="O24" s="12"/>
    </row>
    <row r="25" spans="1:15" x14ac:dyDescent="0.2">
      <c r="A25" s="10"/>
      <c r="B25" s="11"/>
      <c r="C25" s="11"/>
      <c r="D25" s="11"/>
      <c r="E25" s="11"/>
      <c r="F25" s="10"/>
      <c r="G25" s="13"/>
      <c r="H25" s="11"/>
      <c r="I25" s="14"/>
      <c r="J25" s="15"/>
      <c r="K25" s="12"/>
      <c r="L25" s="12"/>
      <c r="M25" s="12"/>
      <c r="N25" s="12"/>
      <c r="O25" s="12"/>
    </row>
    <row r="26" spans="1:15" x14ac:dyDescent="0.2">
      <c r="A26" s="10"/>
      <c r="B26" s="11"/>
      <c r="C26" s="11"/>
      <c r="D26" s="11"/>
      <c r="E26" s="11"/>
      <c r="F26" s="10"/>
      <c r="G26" s="13"/>
      <c r="H26" s="11"/>
      <c r="I26" s="14"/>
      <c r="J26" s="15"/>
      <c r="K26" s="12"/>
      <c r="L26" s="12"/>
      <c r="M26" s="12"/>
      <c r="N26" s="12"/>
      <c r="O26" s="12"/>
    </row>
    <row r="27" spans="1:15" x14ac:dyDescent="0.2">
      <c r="A27" s="10"/>
      <c r="B27" s="11"/>
      <c r="C27" s="11"/>
      <c r="D27" s="11"/>
      <c r="E27" s="11"/>
      <c r="F27" s="10"/>
      <c r="G27" s="13"/>
      <c r="H27" s="11"/>
      <c r="I27" s="14"/>
      <c r="J27" s="15"/>
      <c r="K27" s="12"/>
      <c r="L27" s="12"/>
      <c r="M27" s="12"/>
      <c r="N27" s="12"/>
      <c r="O27" s="12"/>
    </row>
    <row r="28" spans="1:15" x14ac:dyDescent="0.2">
      <c r="A28" s="10"/>
      <c r="B28" s="11"/>
      <c r="C28" s="11"/>
      <c r="D28" s="11"/>
      <c r="E28" s="11"/>
      <c r="F28" s="10"/>
      <c r="G28" s="13"/>
      <c r="H28" s="11"/>
      <c r="I28" s="14"/>
      <c r="J28" s="15"/>
      <c r="K28" s="12"/>
      <c r="L28" s="12"/>
      <c r="M28" s="12"/>
      <c r="N28" s="12"/>
      <c r="O28" s="12"/>
    </row>
    <row r="29" spans="1:15" x14ac:dyDescent="0.2">
      <c r="A29" s="10"/>
      <c r="B29" s="11"/>
      <c r="C29" s="11"/>
      <c r="D29" s="11"/>
      <c r="E29" s="11"/>
      <c r="F29" s="10"/>
      <c r="G29" s="13"/>
      <c r="H29" s="11"/>
      <c r="I29" s="14"/>
      <c r="J29" s="15"/>
      <c r="K29" s="12"/>
      <c r="L29" s="12"/>
      <c r="M29" s="12"/>
      <c r="N29" s="12"/>
      <c r="O29" s="12"/>
    </row>
    <row r="30" spans="1:15" x14ac:dyDescent="0.2">
      <c r="A30" s="10"/>
      <c r="B30" s="11"/>
      <c r="C30" s="11"/>
      <c r="D30" s="11"/>
      <c r="E30" s="11"/>
      <c r="F30" s="10"/>
      <c r="G30" s="13"/>
      <c r="H30" s="11"/>
      <c r="I30" s="14"/>
      <c r="J30" s="15"/>
      <c r="K30" s="12"/>
      <c r="L30" s="12"/>
      <c r="M30" s="12"/>
      <c r="N30" s="12"/>
      <c r="O30" s="12"/>
    </row>
    <row r="31" spans="1:15" x14ac:dyDescent="0.2">
      <c r="A31" s="10"/>
      <c r="B31" s="11"/>
      <c r="C31" s="11"/>
      <c r="D31" s="11"/>
      <c r="E31" s="11"/>
      <c r="F31" s="10"/>
      <c r="G31" s="13"/>
      <c r="H31" s="11"/>
      <c r="I31" s="14"/>
      <c r="J31" s="15"/>
      <c r="K31" s="12"/>
      <c r="L31" s="12"/>
      <c r="M31" s="12"/>
      <c r="N31" s="12"/>
      <c r="O31" s="12"/>
    </row>
    <row r="32" spans="1:15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</sheetData>
  <sheetProtection selectLockedCells="1"/>
  <dataValidations count="2">
    <dataValidation type="list" allowBlank="1" showInputMessage="1" showErrorMessage="1" errorTitle="Tipo de combustível inválido!" error="Selecione um dos tipos de combustível disponíveis." sqref="E5:E31" xr:uid="{EBF39E31-3EFF-452C-8162-8407A658C179}">
      <formula1>"Diesel,Etanol,Flex,Gasolina,GNV"</formula1>
    </dataValidation>
    <dataValidation type="list" allowBlank="1" showInputMessage="1" showErrorMessage="1" errorTitle="Estado da compra inválido!" error="Selecione um dos tipos de estados da compra válidos." sqref="H5:H31" xr:uid="{FD2C5DED-2D25-49F7-871E-3ADDF2ABFECC}">
      <formula1>"Novo,Usado"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2239-30B6-4778-8F0C-BF94D02189A5}">
  <dimension ref="A1:P55"/>
  <sheetViews>
    <sheetView showGridLines="0" workbookViewId="0">
      <selection activeCell="O1" sqref="O1"/>
    </sheetView>
  </sheetViews>
  <sheetFormatPr defaultColWidth="0" defaultRowHeight="12.75" x14ac:dyDescent="0.2"/>
  <cols>
    <col min="1" max="1" width="9.42578125" style="1" customWidth="1"/>
    <col min="2" max="3" width="32.42578125" style="1" customWidth="1"/>
    <col min="4" max="5" width="18.42578125" style="1" customWidth="1"/>
    <col min="6" max="6" width="9.42578125" style="1" customWidth="1"/>
    <col min="7" max="10" width="12.42578125" style="1" customWidth="1"/>
    <col min="11" max="14" width="3.42578125" style="1" customWidth="1"/>
    <col min="15" max="15" width="2.42578125" style="1" customWidth="1"/>
    <col min="16" max="16" width="2.28515625" style="1" hidden="1" customWidth="1"/>
    <col min="17" max="16384" width="11.7109375" style="1" hidden="1"/>
  </cols>
  <sheetData>
    <row r="1" spans="1:15" ht="39.950000000000003" customHeight="1" x14ac:dyDescent="0.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30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ht="25.5" customHeight="1" x14ac:dyDescent="0.2">
      <c r="A4" s="7" t="s">
        <v>12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9" t="s">
        <v>44</v>
      </c>
    </row>
    <row r="5" spans="1:15" x14ac:dyDescent="0.2">
      <c r="A5" s="10">
        <v>1</v>
      </c>
      <c r="B5" s="10" t="s">
        <v>32</v>
      </c>
      <c r="C5" s="10" t="s">
        <v>33</v>
      </c>
      <c r="D5" s="17">
        <v>34991234567</v>
      </c>
      <c r="E5" s="10">
        <v>12345678900</v>
      </c>
      <c r="F5" s="10" t="s">
        <v>34</v>
      </c>
      <c r="G5" s="13">
        <v>43741</v>
      </c>
      <c r="H5" s="19" t="str">
        <f ca="1">IF(B5="","",IF(G5&gt;Início!$M$25,"OK","Vencida"))</f>
        <v>Vencida</v>
      </c>
      <c r="I5" s="10"/>
      <c r="J5" s="10"/>
      <c r="K5" s="10"/>
      <c r="L5" s="10"/>
      <c r="M5" s="10"/>
      <c r="N5" s="10"/>
      <c r="O5" s="10"/>
    </row>
    <row r="6" spans="1:15" x14ac:dyDescent="0.2">
      <c r="A6" s="10">
        <v>2</v>
      </c>
      <c r="B6" s="10" t="s">
        <v>36</v>
      </c>
      <c r="C6" s="10" t="s">
        <v>37</v>
      </c>
      <c r="D6" s="17">
        <v>34988881234</v>
      </c>
      <c r="E6" s="10">
        <v>98765432100</v>
      </c>
      <c r="F6" s="10" t="s">
        <v>38</v>
      </c>
      <c r="G6" s="13">
        <v>43368</v>
      </c>
      <c r="H6" s="19" t="str">
        <f ca="1">IF(B6="","",IF(G6&gt;Início!$M$25,"OK","Vencida"))</f>
        <v>Vencida</v>
      </c>
      <c r="I6" s="10"/>
      <c r="J6" s="10"/>
      <c r="K6" s="10"/>
      <c r="L6" s="10"/>
      <c r="M6" s="10"/>
      <c r="N6" s="10"/>
      <c r="O6" s="10"/>
    </row>
    <row r="7" spans="1:15" x14ac:dyDescent="0.2">
      <c r="A7" s="10"/>
      <c r="B7" s="10"/>
      <c r="C7" s="10"/>
      <c r="D7" s="17"/>
      <c r="E7" s="10"/>
      <c r="F7" s="10"/>
      <c r="G7" s="10"/>
      <c r="H7" s="19" t="str">
        <f>IF(B7="","",IF(G7&gt;Início!$M$25,"OK","Vencida"))</f>
        <v/>
      </c>
      <c r="I7" s="10"/>
      <c r="J7" s="10"/>
      <c r="K7" s="10"/>
      <c r="L7" s="10"/>
      <c r="M7" s="10"/>
      <c r="N7" s="10"/>
      <c r="O7" s="10"/>
    </row>
    <row r="8" spans="1:15" x14ac:dyDescent="0.2">
      <c r="A8" s="10"/>
      <c r="B8" s="10"/>
      <c r="C8" s="10"/>
      <c r="D8" s="17"/>
      <c r="E8" s="10"/>
      <c r="F8" s="10"/>
      <c r="G8" s="10"/>
      <c r="H8" s="19" t="str">
        <f>IF(B8="","",IF(G8&gt;Início!$M$25,"OK","Vencida"))</f>
        <v/>
      </c>
      <c r="I8" s="10"/>
      <c r="J8" s="10"/>
      <c r="K8" s="10"/>
      <c r="L8" s="10"/>
      <c r="M8" s="10"/>
      <c r="N8" s="10"/>
      <c r="O8" s="10"/>
    </row>
    <row r="9" spans="1:15" x14ac:dyDescent="0.2">
      <c r="A9" s="10"/>
      <c r="B9" s="10"/>
      <c r="C9" s="10"/>
      <c r="D9" s="17"/>
      <c r="E9" s="10"/>
      <c r="F9" s="10"/>
      <c r="G9" s="10"/>
      <c r="H9" s="19"/>
      <c r="I9" s="10"/>
      <c r="J9" s="10"/>
      <c r="K9" s="10"/>
      <c r="L9" s="10"/>
      <c r="M9" s="10"/>
      <c r="N9" s="10"/>
      <c r="O9" s="10"/>
    </row>
    <row r="10" spans="1:15" x14ac:dyDescent="0.2">
      <c r="A10" s="10"/>
      <c r="B10" s="10"/>
      <c r="C10" s="10"/>
      <c r="D10" s="17"/>
      <c r="E10" s="10"/>
      <c r="F10" s="10"/>
      <c r="G10" s="10"/>
      <c r="H10" s="13"/>
      <c r="I10" s="10"/>
      <c r="J10" s="10"/>
      <c r="K10" s="10"/>
      <c r="L10" s="10"/>
      <c r="M10" s="10"/>
      <c r="N10" s="10"/>
      <c r="O10" s="10"/>
    </row>
    <row r="11" spans="1:15" x14ac:dyDescent="0.2">
      <c r="A11" s="10"/>
      <c r="B11" s="10"/>
      <c r="C11" s="10"/>
      <c r="D11" s="17"/>
      <c r="E11" s="10"/>
      <c r="F11" s="10"/>
      <c r="G11" s="10"/>
      <c r="H11" s="13"/>
      <c r="I11" s="10"/>
      <c r="J11" s="10"/>
      <c r="K11" s="10"/>
      <c r="L11" s="10"/>
      <c r="M11" s="10"/>
      <c r="N11" s="10"/>
      <c r="O11" s="10"/>
    </row>
    <row r="12" spans="1:15" x14ac:dyDescent="0.2">
      <c r="A12" s="10"/>
      <c r="B12" s="10"/>
      <c r="C12" s="10"/>
      <c r="D12" s="17"/>
      <c r="E12" s="10"/>
      <c r="F12" s="10"/>
      <c r="G12" s="10"/>
      <c r="H12" s="13"/>
      <c r="I12" s="10"/>
      <c r="J12" s="10"/>
      <c r="K12" s="10"/>
      <c r="L12" s="10"/>
      <c r="M12" s="10"/>
      <c r="N12" s="10"/>
      <c r="O12" s="10"/>
    </row>
    <row r="13" spans="1:15" x14ac:dyDescent="0.2">
      <c r="A13" s="10"/>
      <c r="B13" s="10"/>
      <c r="C13" s="10"/>
      <c r="D13" s="17"/>
      <c r="E13" s="10"/>
      <c r="F13" s="10"/>
      <c r="G13" s="10"/>
      <c r="H13" s="13"/>
      <c r="I13" s="10"/>
      <c r="J13" s="10"/>
      <c r="K13" s="10"/>
      <c r="L13" s="10"/>
      <c r="M13" s="10"/>
      <c r="N13" s="10"/>
      <c r="O13" s="10"/>
    </row>
    <row r="14" spans="1:15" x14ac:dyDescent="0.2">
      <c r="A14" s="10"/>
      <c r="B14" s="10"/>
      <c r="C14" s="10"/>
      <c r="D14" s="17"/>
      <c r="E14" s="10"/>
      <c r="F14" s="10"/>
      <c r="G14" s="10"/>
      <c r="H14" s="13"/>
      <c r="I14" s="10"/>
      <c r="J14" s="10"/>
      <c r="K14" s="10"/>
      <c r="L14" s="10"/>
      <c r="M14" s="10"/>
      <c r="N14" s="10"/>
      <c r="O14" s="10"/>
    </row>
    <row r="15" spans="1:15" x14ac:dyDescent="0.2">
      <c r="A15" s="10"/>
      <c r="B15" s="10"/>
      <c r="C15" s="10"/>
      <c r="D15" s="17"/>
      <c r="E15" s="10"/>
      <c r="F15" s="10"/>
      <c r="G15" s="10"/>
      <c r="H15" s="13"/>
      <c r="I15" s="10"/>
      <c r="J15" s="10"/>
      <c r="K15" s="10"/>
      <c r="L15" s="10"/>
      <c r="M15" s="10"/>
      <c r="N15" s="10"/>
      <c r="O15" s="10"/>
    </row>
    <row r="16" spans="1:15" x14ac:dyDescent="0.2">
      <c r="A16" s="10"/>
      <c r="B16" s="10"/>
      <c r="C16" s="10"/>
      <c r="D16" s="10"/>
      <c r="E16" s="10"/>
      <c r="F16" s="10"/>
      <c r="G16" s="10"/>
      <c r="H16" s="13"/>
      <c r="I16" s="10"/>
      <c r="J16" s="10"/>
      <c r="K16" s="10"/>
      <c r="L16" s="10"/>
      <c r="M16" s="10"/>
      <c r="N16" s="10"/>
      <c r="O16" s="10"/>
    </row>
    <row r="17" spans="1:15" x14ac:dyDescent="0.2">
      <c r="A17" s="10"/>
      <c r="B17" s="10"/>
      <c r="C17" s="10"/>
      <c r="D17" s="10"/>
      <c r="E17" s="10"/>
      <c r="F17" s="10"/>
      <c r="G17" s="10"/>
      <c r="H17" s="13"/>
      <c r="I17" s="10"/>
      <c r="J17" s="10"/>
      <c r="K17" s="10"/>
      <c r="L17" s="10"/>
      <c r="M17" s="10"/>
      <c r="N17" s="10"/>
      <c r="O17" s="10"/>
    </row>
    <row r="18" spans="1:15" x14ac:dyDescent="0.2">
      <c r="A18" s="10"/>
      <c r="B18" s="10"/>
      <c r="C18" s="10"/>
      <c r="D18" s="10"/>
      <c r="E18" s="10"/>
      <c r="F18" s="10"/>
      <c r="G18" s="10"/>
      <c r="H18" s="13"/>
      <c r="I18" s="10"/>
      <c r="J18" s="10"/>
      <c r="K18" s="10"/>
      <c r="L18" s="10"/>
      <c r="M18" s="10"/>
      <c r="N18" s="10"/>
      <c r="O18" s="10"/>
    </row>
    <row r="19" spans="1:15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2"/>
      <c r="K22" s="12"/>
      <c r="L22" s="12"/>
      <c r="M22" s="12"/>
      <c r="N22" s="12"/>
      <c r="O22" s="12"/>
    </row>
    <row r="23" spans="1:15" x14ac:dyDescent="0.2">
      <c r="A23" s="11"/>
      <c r="B23" s="11"/>
      <c r="C23" s="11"/>
      <c r="D23" s="11"/>
      <c r="E23" s="11"/>
      <c r="F23" s="11"/>
      <c r="G23" s="11"/>
      <c r="H23" s="11"/>
      <c r="I23" s="12"/>
      <c r="J23" s="12"/>
      <c r="K23" s="12"/>
      <c r="L23" s="12"/>
      <c r="M23" s="12"/>
      <c r="N23" s="12"/>
      <c r="O23" s="12"/>
    </row>
    <row r="24" spans="1:15" x14ac:dyDescent="0.2">
      <c r="A24" s="11"/>
      <c r="B24" s="11"/>
      <c r="C24" s="11"/>
      <c r="D24" s="11"/>
      <c r="E24" s="11"/>
      <c r="F24" s="11"/>
      <c r="G24" s="11"/>
      <c r="H24" s="11"/>
      <c r="I24" s="12"/>
      <c r="J24" s="12"/>
      <c r="K24" s="12"/>
      <c r="L24" s="12"/>
      <c r="M24" s="12"/>
      <c r="N24" s="12"/>
      <c r="O24" s="12"/>
    </row>
    <row r="25" spans="1:15" x14ac:dyDescent="0.2">
      <c r="A25" s="11"/>
      <c r="B25" s="11"/>
      <c r="C25" s="11"/>
      <c r="D25" s="11"/>
      <c r="E25" s="11"/>
      <c r="F25" s="11"/>
      <c r="G25" s="11"/>
      <c r="H25" s="11"/>
      <c r="I25" s="12"/>
      <c r="J25" s="12"/>
      <c r="K25" s="12"/>
      <c r="L25" s="12"/>
      <c r="M25" s="12"/>
      <c r="N25" s="12"/>
      <c r="O25" s="12"/>
    </row>
    <row r="26" spans="1:15" x14ac:dyDescent="0.2">
      <c r="A26" s="11"/>
      <c r="B26" s="11"/>
      <c r="C26" s="11"/>
      <c r="D26" s="11"/>
      <c r="E26" s="11"/>
      <c r="F26" s="11"/>
      <c r="G26" s="11"/>
      <c r="H26" s="11"/>
      <c r="I26" s="12"/>
      <c r="J26" s="12"/>
      <c r="K26" s="12"/>
      <c r="L26" s="12"/>
      <c r="M26" s="12"/>
      <c r="N26" s="12"/>
      <c r="O26" s="12"/>
    </row>
    <row r="27" spans="1:15" x14ac:dyDescent="0.2">
      <c r="A27" s="11"/>
      <c r="B27" s="11"/>
      <c r="C27" s="11"/>
      <c r="D27" s="11"/>
      <c r="E27" s="11"/>
      <c r="F27" s="11"/>
      <c r="G27" s="11"/>
      <c r="H27" s="11"/>
      <c r="I27" s="12"/>
      <c r="J27" s="12"/>
      <c r="K27" s="12"/>
      <c r="L27" s="12"/>
      <c r="M27" s="12"/>
      <c r="N27" s="12"/>
      <c r="O27" s="12"/>
    </row>
    <row r="28" spans="1:15" x14ac:dyDescent="0.2">
      <c r="A28" s="11"/>
      <c r="B28" s="11"/>
      <c r="C28" s="11"/>
      <c r="D28" s="11"/>
      <c r="E28" s="11"/>
      <c r="F28" s="11"/>
      <c r="G28" s="11"/>
      <c r="H28" s="11"/>
      <c r="I28" s="12"/>
      <c r="J28" s="12"/>
      <c r="K28" s="12"/>
      <c r="L28" s="12"/>
      <c r="M28" s="12"/>
      <c r="N28" s="12"/>
      <c r="O28" s="12"/>
    </row>
    <row r="29" spans="1:15" x14ac:dyDescent="0.2">
      <c r="A29" s="11"/>
      <c r="B29" s="11"/>
      <c r="C29" s="11"/>
      <c r="D29" s="11"/>
      <c r="E29" s="11"/>
      <c r="F29" s="11"/>
      <c r="G29" s="11"/>
      <c r="H29" s="11"/>
      <c r="I29" s="12"/>
      <c r="J29" s="12"/>
      <c r="K29" s="12"/>
      <c r="L29" s="12"/>
      <c r="M29" s="12"/>
      <c r="N29" s="12"/>
      <c r="O29" s="12"/>
    </row>
    <row r="30" spans="1:15" x14ac:dyDescent="0.2">
      <c r="A30" s="11"/>
      <c r="B30" s="11"/>
      <c r="C30" s="11"/>
      <c r="D30" s="11"/>
      <c r="E30" s="11"/>
      <c r="F30" s="11"/>
      <c r="G30" s="11"/>
      <c r="H30" s="11"/>
      <c r="I30" s="12"/>
      <c r="J30" s="12"/>
      <c r="K30" s="12"/>
      <c r="L30" s="12"/>
      <c r="M30" s="12"/>
      <c r="N30" s="12"/>
      <c r="O30" s="12"/>
    </row>
    <row r="31" spans="1:15" x14ac:dyDescent="0.2">
      <c r="A31" s="11"/>
      <c r="B31" s="11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12"/>
      <c r="O31" s="12"/>
    </row>
    <row r="32" spans="1:15" x14ac:dyDescent="0.2">
      <c r="A32" s="11"/>
      <c r="B32" s="11"/>
      <c r="C32" s="11"/>
      <c r="D32" s="11"/>
      <c r="E32" s="11"/>
      <c r="F32" s="11"/>
      <c r="G32" s="11"/>
      <c r="H32" s="11"/>
      <c r="I32" s="12"/>
      <c r="J32" s="12"/>
      <c r="K32" s="12"/>
      <c r="L32" s="12"/>
      <c r="M32" s="12"/>
      <c r="N32" s="12"/>
      <c r="O32" s="12"/>
    </row>
    <row r="33" spans="1:15" x14ac:dyDescent="0.2">
      <c r="A33" s="11"/>
      <c r="B33" s="11"/>
      <c r="C33" s="11"/>
      <c r="D33" s="11"/>
      <c r="E33" s="11"/>
      <c r="F33" s="11"/>
      <c r="G33" s="11"/>
      <c r="H33" s="11"/>
      <c r="I33" s="12"/>
      <c r="J33" s="12"/>
      <c r="K33" s="12"/>
      <c r="L33" s="12"/>
      <c r="M33" s="12"/>
      <c r="N33" s="12"/>
      <c r="O33" s="12"/>
    </row>
    <row r="34" spans="1:15" x14ac:dyDescent="0.2">
      <c r="A34" s="11"/>
      <c r="B34" s="11"/>
      <c r="C34" s="11"/>
      <c r="D34" s="11"/>
      <c r="E34" s="11"/>
      <c r="F34" s="11"/>
      <c r="G34" s="11"/>
      <c r="H34" s="11"/>
      <c r="I34" s="12"/>
      <c r="J34" s="12"/>
      <c r="K34" s="12"/>
      <c r="L34" s="12"/>
      <c r="M34" s="12"/>
      <c r="N34" s="12"/>
      <c r="O34" s="12"/>
    </row>
    <row r="35" spans="1:15" x14ac:dyDescent="0.2">
      <c r="A35" s="11"/>
      <c r="B35" s="11"/>
      <c r="C35" s="11"/>
      <c r="D35" s="11"/>
      <c r="E35" s="11"/>
      <c r="F35" s="11"/>
      <c r="G35" s="11"/>
      <c r="H35" s="11"/>
      <c r="I35" s="12"/>
      <c r="J35" s="12"/>
      <c r="K35" s="12"/>
      <c r="L35" s="12"/>
      <c r="M35" s="12"/>
      <c r="N35" s="12"/>
      <c r="O35" s="12"/>
    </row>
    <row r="36" spans="1:15" x14ac:dyDescent="0.2">
      <c r="A36" s="11"/>
      <c r="B36" s="11"/>
      <c r="C36" s="11"/>
      <c r="D36" s="11"/>
      <c r="E36" s="11"/>
      <c r="F36" s="11"/>
      <c r="G36" s="11"/>
      <c r="H36" s="11"/>
      <c r="I36" s="12"/>
      <c r="J36" s="12"/>
      <c r="K36" s="12"/>
      <c r="L36" s="12"/>
      <c r="M36" s="12"/>
      <c r="N36" s="12"/>
      <c r="O36" s="12"/>
    </row>
    <row r="37" spans="1:15" x14ac:dyDescent="0.2">
      <c r="A37" s="11"/>
      <c r="B37" s="11"/>
      <c r="C37" s="11"/>
      <c r="D37" s="11"/>
      <c r="E37" s="11"/>
      <c r="F37" s="11"/>
      <c r="G37" s="11"/>
      <c r="H37" s="11"/>
      <c r="I37" s="12"/>
      <c r="J37" s="12"/>
      <c r="K37" s="12"/>
      <c r="L37" s="12"/>
      <c r="M37" s="12"/>
      <c r="N37" s="12"/>
      <c r="O37" s="12"/>
    </row>
    <row r="38" spans="1:15" x14ac:dyDescent="0.2">
      <c r="A38" s="11"/>
      <c r="B38" s="11"/>
      <c r="C38" s="11"/>
      <c r="D38" s="11"/>
      <c r="E38" s="11"/>
      <c r="F38" s="11"/>
      <c r="G38" s="11"/>
      <c r="H38" s="11"/>
      <c r="I38" s="12"/>
      <c r="J38" s="12"/>
      <c r="K38" s="12"/>
      <c r="L38" s="12"/>
      <c r="M38" s="12"/>
      <c r="N38" s="12"/>
      <c r="O38" s="12"/>
    </row>
    <row r="39" spans="1:15" x14ac:dyDescent="0.2">
      <c r="A39" s="11"/>
      <c r="B39" s="11"/>
      <c r="C39" s="11"/>
      <c r="D39" s="11"/>
      <c r="E39" s="11"/>
      <c r="F39" s="11"/>
      <c r="G39" s="11"/>
      <c r="H39" s="11"/>
      <c r="I39" s="12"/>
      <c r="J39" s="12"/>
      <c r="K39" s="12"/>
      <c r="L39" s="12"/>
      <c r="M39" s="12"/>
      <c r="N39" s="12"/>
      <c r="O39" s="12"/>
    </row>
    <row r="40" spans="1:15" x14ac:dyDescent="0.2">
      <c r="A40" s="11"/>
      <c r="B40" s="11"/>
      <c r="C40" s="11"/>
      <c r="D40" s="11"/>
      <c r="E40" s="11"/>
      <c r="F40" s="11"/>
      <c r="G40" s="11"/>
      <c r="H40" s="11"/>
      <c r="I40" s="12"/>
      <c r="J40" s="12"/>
      <c r="K40" s="12"/>
      <c r="L40" s="12"/>
      <c r="M40" s="12"/>
      <c r="N40" s="12"/>
      <c r="O40" s="12"/>
    </row>
    <row r="41" spans="1:15" x14ac:dyDescent="0.2">
      <c r="A41" s="11"/>
      <c r="B41" s="11"/>
      <c r="C41" s="11"/>
      <c r="D41" s="11"/>
      <c r="E41" s="11"/>
      <c r="F41" s="11"/>
      <c r="G41" s="11"/>
      <c r="H41" s="11"/>
      <c r="I41" s="12"/>
      <c r="J41" s="12"/>
      <c r="K41" s="12"/>
      <c r="L41" s="12"/>
      <c r="M41" s="12"/>
      <c r="N41" s="12"/>
      <c r="O41" s="12"/>
    </row>
    <row r="42" spans="1:15" x14ac:dyDescent="0.2">
      <c r="A42" s="16"/>
      <c r="B42" s="16"/>
      <c r="C42" s="16"/>
      <c r="D42" s="16"/>
      <c r="E42" s="16"/>
      <c r="F42" s="16"/>
      <c r="G42" s="16"/>
      <c r="H42" s="16"/>
    </row>
    <row r="43" spans="1:15" x14ac:dyDescent="0.2">
      <c r="A43" s="16"/>
      <c r="B43" s="16"/>
      <c r="C43" s="16"/>
      <c r="D43" s="16"/>
      <c r="E43" s="16"/>
      <c r="F43" s="16"/>
      <c r="G43" s="16"/>
      <c r="H43" s="16"/>
    </row>
    <row r="44" spans="1:15" x14ac:dyDescent="0.2">
      <c r="A44" s="16"/>
      <c r="B44" s="16"/>
      <c r="C44" s="16"/>
      <c r="D44" s="16"/>
      <c r="E44" s="16"/>
      <c r="F44" s="16"/>
      <c r="G44" s="16"/>
      <c r="H44" s="16"/>
    </row>
    <row r="45" spans="1:15" x14ac:dyDescent="0.2">
      <c r="A45" s="16"/>
      <c r="B45" s="16"/>
      <c r="C45" s="16"/>
      <c r="D45" s="16"/>
      <c r="E45" s="16"/>
      <c r="F45" s="16"/>
      <c r="G45" s="16"/>
      <c r="H45" s="16"/>
    </row>
    <row r="46" spans="1:15" x14ac:dyDescent="0.2">
      <c r="A46" s="16"/>
      <c r="B46" s="16"/>
      <c r="C46" s="16"/>
      <c r="D46" s="16"/>
      <c r="E46" s="16"/>
      <c r="F46" s="16"/>
      <c r="G46" s="16"/>
      <c r="H46" s="16"/>
    </row>
    <row r="47" spans="1:15" x14ac:dyDescent="0.2">
      <c r="A47" s="16"/>
      <c r="B47" s="16"/>
      <c r="C47" s="16"/>
      <c r="D47" s="16"/>
      <c r="E47" s="16"/>
      <c r="F47" s="16"/>
      <c r="G47" s="16"/>
      <c r="H47" s="16"/>
    </row>
    <row r="48" spans="1:15" x14ac:dyDescent="0.2">
      <c r="A48" s="16"/>
      <c r="B48" s="16"/>
      <c r="C48" s="16"/>
      <c r="D48" s="16"/>
      <c r="E48" s="16"/>
      <c r="F48" s="16"/>
      <c r="G48" s="16"/>
      <c r="H48" s="16"/>
    </row>
    <row r="49" spans="1:8" x14ac:dyDescent="0.2">
      <c r="A49" s="16"/>
      <c r="B49" s="16"/>
      <c r="C49" s="16"/>
      <c r="D49" s="16"/>
      <c r="E49" s="16"/>
      <c r="F49" s="16"/>
      <c r="G49" s="16"/>
      <c r="H49" s="16"/>
    </row>
    <row r="50" spans="1:8" x14ac:dyDescent="0.2">
      <c r="A50" s="16"/>
      <c r="B50" s="16"/>
      <c r="C50" s="16"/>
      <c r="D50" s="16"/>
      <c r="E50" s="16"/>
      <c r="F50" s="16"/>
      <c r="G50" s="16"/>
      <c r="H50" s="16"/>
    </row>
    <row r="51" spans="1:8" x14ac:dyDescent="0.2">
      <c r="A51" s="16"/>
      <c r="B51" s="16"/>
      <c r="C51" s="16"/>
      <c r="D51" s="16"/>
      <c r="E51" s="16"/>
      <c r="F51" s="16"/>
      <c r="G51" s="16"/>
      <c r="H51" s="16"/>
    </row>
    <row r="52" spans="1:8" x14ac:dyDescent="0.2">
      <c r="A52" s="16"/>
      <c r="B52" s="16"/>
      <c r="C52" s="16"/>
      <c r="D52" s="16"/>
      <c r="E52" s="16"/>
      <c r="F52" s="16"/>
      <c r="G52" s="16"/>
      <c r="H52" s="16"/>
    </row>
    <row r="53" spans="1:8" x14ac:dyDescent="0.2">
      <c r="A53" s="16"/>
      <c r="B53" s="16"/>
      <c r="C53" s="16"/>
      <c r="D53" s="16"/>
      <c r="E53" s="16"/>
      <c r="F53" s="16"/>
      <c r="G53" s="16"/>
      <c r="H53" s="16"/>
    </row>
    <row r="54" spans="1:8" x14ac:dyDescent="0.2">
      <c r="A54" s="16"/>
      <c r="B54" s="16"/>
      <c r="C54" s="16"/>
      <c r="D54" s="16"/>
      <c r="E54" s="16"/>
      <c r="F54" s="16"/>
      <c r="G54" s="16"/>
      <c r="H54" s="16"/>
    </row>
    <row r="55" spans="1:8" x14ac:dyDescent="0.2">
      <c r="A55" s="16"/>
      <c r="B55" s="16"/>
      <c r="C55" s="16"/>
      <c r="D55" s="16"/>
      <c r="E55" s="16"/>
      <c r="F55" s="16"/>
      <c r="G55" s="16"/>
      <c r="H55" s="16"/>
    </row>
  </sheetData>
  <sheetProtection selectLockedCells="1"/>
  <conditionalFormatting sqref="H5:H9">
    <cfRule type="containsText" dxfId="1" priority="1" operator="containsText" text="Vencida">
      <formula>NOT(ISERROR(SEARCH("Vencida",H5)))</formula>
    </cfRule>
  </conditionalFormatting>
  <dataValidations count="1">
    <dataValidation type="list" allowBlank="1" showInputMessage="1" showErrorMessage="1" errorTitle="Categoria Inválida!" error="Selecione uma das categorias disponíveis." sqref="F5:F18" xr:uid="{3E89EE8C-0A27-417A-B914-72104152AA8F}">
      <formula1>"A,B,C,D,E,AB,AC,AD,AE"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5AE-C7C6-490C-B019-C14DA0086975}">
  <dimension ref="A1:P58"/>
  <sheetViews>
    <sheetView showGridLines="0" tabSelected="1" workbookViewId="0">
      <selection activeCell="H14" sqref="H14"/>
    </sheetView>
  </sheetViews>
  <sheetFormatPr defaultColWidth="0" defaultRowHeight="12.75" x14ac:dyDescent="0.25"/>
  <cols>
    <col min="1" max="15" width="12.42578125" style="12" customWidth="1"/>
    <col min="16" max="16" width="2.28515625" style="12" hidden="1" customWidth="1"/>
    <col min="17" max="16384" width="11.7109375" style="12" hidden="1"/>
  </cols>
  <sheetData>
    <row r="1" spans="1:15" ht="39.950000000000003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0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4" spans="1:15" ht="25.5" customHeight="1" x14ac:dyDescent="0.25">
      <c r="A4" s="24" t="s">
        <v>59</v>
      </c>
      <c r="B4" s="32" t="s">
        <v>63</v>
      </c>
      <c r="C4" s="32"/>
      <c r="D4" s="32" t="s">
        <v>64</v>
      </c>
      <c r="E4" s="32"/>
      <c r="F4" s="32" t="s">
        <v>66</v>
      </c>
      <c r="G4" s="32"/>
      <c r="H4" s="32" t="s">
        <v>67</v>
      </c>
      <c r="I4" s="32"/>
    </row>
    <row r="5" spans="1:15" ht="15" customHeight="1" x14ac:dyDescent="0.25">
      <c r="A5" s="25">
        <v>2018</v>
      </c>
      <c r="B5" s="33">
        <f>N12</f>
        <v>38414</v>
      </c>
      <c r="C5" s="33"/>
      <c r="D5" s="33">
        <f>MAX(B9:M11)</f>
        <v>1615</v>
      </c>
      <c r="E5" s="33"/>
      <c r="F5" s="33">
        <f>MIN(B9:M11)</f>
        <v>636</v>
      </c>
      <c r="G5" s="33"/>
      <c r="H5" s="33">
        <f>COUNTA(A9:A11)</f>
        <v>3</v>
      </c>
      <c r="I5" s="33"/>
    </row>
    <row r="6" spans="1:15" ht="15" customHeight="1" x14ac:dyDescent="0.25"/>
    <row r="7" spans="1:15" ht="15" customHeight="1" x14ac:dyDescent="0.25"/>
    <row r="8" spans="1:15" ht="15" customHeight="1" x14ac:dyDescent="0.25">
      <c r="A8" s="22" t="s">
        <v>45</v>
      </c>
      <c r="B8" s="23" t="s">
        <v>46</v>
      </c>
      <c r="C8" s="23" t="s">
        <v>47</v>
      </c>
      <c r="D8" s="23" t="s">
        <v>48</v>
      </c>
      <c r="E8" s="23" t="s">
        <v>49</v>
      </c>
      <c r="F8" s="23" t="s">
        <v>50</v>
      </c>
      <c r="G8" s="23" t="s">
        <v>51</v>
      </c>
      <c r="H8" s="23" t="s">
        <v>52</v>
      </c>
      <c r="I8" s="23" t="s">
        <v>53</v>
      </c>
      <c r="J8" s="23" t="s">
        <v>54</v>
      </c>
      <c r="K8" s="23" t="s">
        <v>55</v>
      </c>
      <c r="L8" s="23" t="s">
        <v>56</v>
      </c>
      <c r="M8" s="23" t="s">
        <v>57</v>
      </c>
      <c r="N8" s="23" t="s">
        <v>58</v>
      </c>
      <c r="O8" s="23" t="s">
        <v>65</v>
      </c>
    </row>
    <row r="9" spans="1:15" x14ac:dyDescent="0.25">
      <c r="A9" s="11" t="s">
        <v>21</v>
      </c>
      <c r="B9" s="26">
        <v>958</v>
      </c>
      <c r="C9" s="26">
        <v>873</v>
      </c>
      <c r="D9" s="26">
        <v>1011</v>
      </c>
      <c r="E9" s="26">
        <v>909</v>
      </c>
      <c r="F9" s="26">
        <v>682</v>
      </c>
      <c r="G9" s="26">
        <v>705</v>
      </c>
      <c r="H9" s="26">
        <v>858</v>
      </c>
      <c r="I9" s="26">
        <v>950</v>
      </c>
      <c r="J9" s="26">
        <v>919</v>
      </c>
      <c r="K9" s="26">
        <v>878</v>
      </c>
      <c r="L9" s="26">
        <v>824</v>
      </c>
      <c r="M9" s="26">
        <v>932</v>
      </c>
      <c r="N9" s="26">
        <f>SUM(B9:M9)</f>
        <v>10499</v>
      </c>
      <c r="O9" s="30">
        <f>AVERAGE(B9:M9)</f>
        <v>874.91666666666663</v>
      </c>
    </row>
    <row r="10" spans="1:15" x14ac:dyDescent="0.25">
      <c r="A10" s="11" t="s">
        <v>40</v>
      </c>
      <c r="B10" s="26">
        <v>1280</v>
      </c>
      <c r="C10" s="26">
        <v>1154</v>
      </c>
      <c r="D10" s="26">
        <v>1365</v>
      </c>
      <c r="E10" s="26">
        <v>1289</v>
      </c>
      <c r="F10" s="26">
        <v>1434</v>
      </c>
      <c r="G10" s="26">
        <v>1499</v>
      </c>
      <c r="H10" s="26">
        <v>1389</v>
      </c>
      <c r="I10" s="26">
        <v>1449</v>
      </c>
      <c r="J10" s="26">
        <v>1038</v>
      </c>
      <c r="K10" s="26">
        <v>1152</v>
      </c>
      <c r="L10" s="26">
        <v>1068</v>
      </c>
      <c r="M10" s="26">
        <v>1433</v>
      </c>
      <c r="N10" s="26">
        <f t="shared" ref="N10:N11" si="0">SUM(B10:M10)</f>
        <v>15550</v>
      </c>
      <c r="O10" s="30">
        <f t="shared" ref="O10:O12" si="1">AVERAGE(B10:M10)</f>
        <v>1295.8333333333333</v>
      </c>
    </row>
    <row r="11" spans="1:15" x14ac:dyDescent="0.25">
      <c r="A11" s="11" t="s">
        <v>60</v>
      </c>
      <c r="B11" s="26">
        <v>1053</v>
      </c>
      <c r="C11" s="26">
        <v>766</v>
      </c>
      <c r="D11" s="26">
        <v>1615</v>
      </c>
      <c r="E11" s="26">
        <v>1180</v>
      </c>
      <c r="F11" s="26">
        <v>923</v>
      </c>
      <c r="G11" s="26">
        <v>784</v>
      </c>
      <c r="H11" s="26">
        <v>1286</v>
      </c>
      <c r="I11" s="26">
        <v>751</v>
      </c>
      <c r="J11" s="26">
        <v>1036</v>
      </c>
      <c r="K11" s="26">
        <v>1011</v>
      </c>
      <c r="L11" s="26">
        <v>636</v>
      </c>
      <c r="M11" s="26">
        <v>1324</v>
      </c>
      <c r="N11" s="26">
        <f t="shared" si="0"/>
        <v>12365</v>
      </c>
      <c r="O11" s="30">
        <f t="shared" si="1"/>
        <v>1030.4166666666667</v>
      </c>
    </row>
    <row r="12" spans="1:15" x14ac:dyDescent="0.25">
      <c r="A12" s="27" t="s">
        <v>58</v>
      </c>
      <c r="B12" s="28">
        <f>SUM(B9:B11)</f>
        <v>3291</v>
      </c>
      <c r="C12" s="28">
        <f>SUM(C9:C11)</f>
        <v>2793</v>
      </c>
      <c r="D12" s="28">
        <f>SUM(D9:D11)</f>
        <v>3991</v>
      </c>
      <c r="E12" s="28">
        <f>SUM(E9:E11)</f>
        <v>3378</v>
      </c>
      <c r="F12" s="28">
        <f>SUM(F9:F11)</f>
        <v>3039</v>
      </c>
      <c r="G12" s="28">
        <f>SUM(G9:G11)</f>
        <v>2988</v>
      </c>
      <c r="H12" s="28">
        <f>SUM(H9:H11)</f>
        <v>3533</v>
      </c>
      <c r="I12" s="28">
        <f>SUM(I9:I11)</f>
        <v>3150</v>
      </c>
      <c r="J12" s="28">
        <f>SUM(J9:J11)</f>
        <v>2993</v>
      </c>
      <c r="K12" s="28">
        <f>SUM(K9:K11)</f>
        <v>3041</v>
      </c>
      <c r="L12" s="28">
        <f>SUM(L9:L11)</f>
        <v>2528</v>
      </c>
      <c r="M12" s="28">
        <f>SUM(M9:M11)</f>
        <v>3689</v>
      </c>
      <c r="N12" s="28">
        <f>SUM(N9:N11)</f>
        <v>38414</v>
      </c>
      <c r="O12" s="30">
        <f t="shared" si="1"/>
        <v>3201.1666666666665</v>
      </c>
    </row>
    <row r="13" spans="1:15" x14ac:dyDescent="0.25">
      <c r="A13" s="27" t="s">
        <v>65</v>
      </c>
      <c r="B13" s="28">
        <f>AVERAGE(B9:B11)</f>
        <v>1097</v>
      </c>
      <c r="C13" s="28">
        <f>AVERAGE(C9:C11)</f>
        <v>931</v>
      </c>
      <c r="D13" s="28">
        <f>AVERAGE(D9:D11)</f>
        <v>1330.3333333333333</v>
      </c>
      <c r="E13" s="28">
        <f>AVERAGE(E9:E11)</f>
        <v>1126</v>
      </c>
      <c r="F13" s="28">
        <f>AVERAGE(F9:F11)</f>
        <v>1013</v>
      </c>
      <c r="G13" s="28">
        <f>AVERAGE(G9:G11)</f>
        <v>996</v>
      </c>
      <c r="H13" s="28">
        <f>AVERAGE(H9:H11)</f>
        <v>1177.6666666666667</v>
      </c>
      <c r="I13" s="28">
        <f>AVERAGE(I9:I11)</f>
        <v>1050</v>
      </c>
      <c r="J13" s="28">
        <f>AVERAGE(J9:J11)</f>
        <v>997.66666666666663</v>
      </c>
      <c r="K13" s="28">
        <f>AVERAGE(K9:K11)</f>
        <v>1013.6666666666666</v>
      </c>
      <c r="L13" s="28">
        <f>AVERAGE(L9:L11)</f>
        <v>842.66666666666663</v>
      </c>
      <c r="M13" s="28">
        <f>AVERAGE(M9:M11)</f>
        <v>1229.6666666666667</v>
      </c>
      <c r="N13" s="28">
        <f>AVERAGE(N9:N11)</f>
        <v>12804.666666666666</v>
      </c>
      <c r="O13" s="29"/>
    </row>
    <row r="14" spans="1:15" x14ac:dyDescent="0.25">
      <c r="A14" s="10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10"/>
    </row>
    <row r="15" spans="1:15" x14ac:dyDescent="0.25">
      <c r="A15" s="10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10"/>
    </row>
    <row r="16" spans="1:15" x14ac:dyDescent="0.25">
      <c r="A16" s="10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10"/>
    </row>
    <row r="17" spans="1:15" x14ac:dyDescent="0.25">
      <c r="A17" s="10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10"/>
    </row>
    <row r="18" spans="1:15" x14ac:dyDescent="0.25">
      <c r="A18" s="10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10"/>
    </row>
    <row r="19" spans="1:15" x14ac:dyDescent="0.25">
      <c r="A19" s="10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10"/>
    </row>
    <row r="20" spans="1:15" x14ac:dyDescent="0.25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10"/>
    </row>
    <row r="21" spans="1:15" x14ac:dyDescent="0.25">
      <c r="A21" s="10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10"/>
    </row>
    <row r="22" spans="1:1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30"/>
      <c r="L22" s="10"/>
      <c r="M22" s="10"/>
      <c r="N22" s="10"/>
      <c r="O22" s="10"/>
    </row>
    <row r="23" spans="1:1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s="11"/>
      <c r="B25" s="11"/>
      <c r="C25" s="11"/>
      <c r="D25" s="11"/>
      <c r="E25" s="11"/>
      <c r="F25" s="11"/>
      <c r="G25" s="11"/>
      <c r="H25" s="11"/>
      <c r="I25" s="11"/>
    </row>
    <row r="26" spans="1:15" x14ac:dyDescent="0.25">
      <c r="A26" s="11"/>
      <c r="B26" s="11"/>
      <c r="C26" s="11"/>
      <c r="D26" s="11"/>
      <c r="E26" s="11"/>
      <c r="F26" s="11"/>
      <c r="G26" s="11"/>
      <c r="H26" s="11"/>
    </row>
    <row r="27" spans="1:15" x14ac:dyDescent="0.25">
      <c r="A27" s="11"/>
      <c r="B27" s="11"/>
      <c r="C27" s="11"/>
      <c r="D27" s="11"/>
      <c r="E27" s="11"/>
      <c r="F27" s="11"/>
      <c r="G27" s="11"/>
      <c r="H27" s="11"/>
    </row>
    <row r="28" spans="1:15" x14ac:dyDescent="0.25">
      <c r="A28" s="11"/>
      <c r="B28" s="11"/>
      <c r="C28" s="11"/>
      <c r="D28" s="11"/>
      <c r="E28" s="11"/>
      <c r="F28" s="11"/>
      <c r="G28" s="11"/>
      <c r="H28" s="11"/>
    </row>
    <row r="29" spans="1:15" x14ac:dyDescent="0.25">
      <c r="A29" s="11"/>
      <c r="B29" s="11"/>
      <c r="C29" s="11"/>
      <c r="D29" s="11"/>
      <c r="E29" s="11"/>
      <c r="F29" s="11"/>
      <c r="G29" s="11"/>
      <c r="H29" s="11"/>
    </row>
    <row r="30" spans="1:15" x14ac:dyDescent="0.25">
      <c r="A30" s="11"/>
      <c r="B30" s="11"/>
      <c r="C30" s="11"/>
      <c r="D30" s="11"/>
      <c r="E30" s="11"/>
      <c r="F30" s="11"/>
      <c r="G30" s="11"/>
      <c r="H30" s="11"/>
    </row>
    <row r="31" spans="1:15" x14ac:dyDescent="0.25">
      <c r="A31" s="11"/>
      <c r="B31" s="11"/>
      <c r="C31" s="11"/>
      <c r="D31" s="11"/>
      <c r="E31" s="11"/>
      <c r="F31" s="11"/>
      <c r="G31" s="11"/>
      <c r="H31" s="11"/>
    </row>
    <row r="32" spans="1:15" x14ac:dyDescent="0.25">
      <c r="A32" s="11"/>
      <c r="B32" s="11"/>
      <c r="C32" s="11"/>
      <c r="D32" s="11"/>
      <c r="E32" s="11"/>
      <c r="F32" s="11"/>
      <c r="G32" s="11"/>
      <c r="H32" s="11"/>
    </row>
    <row r="33" spans="1:8" x14ac:dyDescent="0.25">
      <c r="A33" s="11"/>
      <c r="B33" s="11"/>
      <c r="C33" s="11"/>
      <c r="D33" s="11"/>
      <c r="E33" s="11"/>
      <c r="F33" s="11"/>
      <c r="G33" s="11"/>
      <c r="H33" s="11"/>
    </row>
    <row r="34" spans="1:8" x14ac:dyDescent="0.25">
      <c r="A34" s="11"/>
      <c r="B34" s="11"/>
      <c r="C34" s="11"/>
      <c r="D34" s="11"/>
      <c r="E34" s="11"/>
      <c r="F34" s="11"/>
      <c r="G34" s="11"/>
      <c r="H34" s="11"/>
    </row>
    <row r="35" spans="1:8" x14ac:dyDescent="0.25">
      <c r="A35" s="11"/>
      <c r="B35" s="11"/>
      <c r="C35" s="11"/>
      <c r="D35" s="11"/>
      <c r="E35" s="11"/>
      <c r="F35" s="11"/>
      <c r="G35" s="11"/>
      <c r="H35" s="11"/>
    </row>
    <row r="36" spans="1:8" x14ac:dyDescent="0.25">
      <c r="A36" s="11"/>
      <c r="B36" s="11"/>
      <c r="C36" s="11"/>
      <c r="D36" s="11"/>
      <c r="E36" s="11"/>
      <c r="F36" s="11"/>
      <c r="G36" s="11"/>
      <c r="H36" s="11"/>
    </row>
    <row r="37" spans="1:8" x14ac:dyDescent="0.25">
      <c r="A37" s="11"/>
      <c r="B37" s="11"/>
      <c r="C37" s="11"/>
      <c r="D37" s="11"/>
      <c r="E37" s="11"/>
      <c r="F37" s="11"/>
      <c r="G37" s="11"/>
      <c r="H37" s="11"/>
    </row>
    <row r="38" spans="1:8" x14ac:dyDescent="0.25">
      <c r="A38" s="11"/>
      <c r="B38" s="11"/>
      <c r="C38" s="11"/>
      <c r="D38" s="11"/>
      <c r="E38" s="11"/>
      <c r="F38" s="11"/>
      <c r="G38" s="11"/>
      <c r="H38" s="11"/>
    </row>
    <row r="39" spans="1:8" x14ac:dyDescent="0.25">
      <c r="A39" s="11"/>
      <c r="B39" s="11"/>
      <c r="C39" s="11"/>
      <c r="D39" s="11"/>
      <c r="E39" s="11"/>
      <c r="F39" s="11"/>
      <c r="G39" s="11"/>
      <c r="H39" s="11"/>
    </row>
    <row r="40" spans="1:8" x14ac:dyDescent="0.25">
      <c r="A40" s="11"/>
      <c r="B40" s="11"/>
      <c r="C40" s="11"/>
      <c r="D40" s="11"/>
      <c r="E40" s="11"/>
      <c r="F40" s="11"/>
      <c r="G40" s="11"/>
      <c r="H40" s="11"/>
    </row>
    <row r="41" spans="1:8" x14ac:dyDescent="0.25">
      <c r="A41" s="11"/>
      <c r="B41" s="11"/>
      <c r="C41" s="11"/>
      <c r="D41" s="11"/>
      <c r="E41" s="11"/>
      <c r="F41" s="11"/>
      <c r="G41" s="11"/>
      <c r="H41" s="11"/>
    </row>
    <row r="42" spans="1:8" x14ac:dyDescent="0.25">
      <c r="A42" s="11"/>
      <c r="B42" s="11"/>
      <c r="C42" s="11"/>
      <c r="D42" s="11"/>
      <c r="E42" s="11"/>
      <c r="F42" s="11"/>
      <c r="G42" s="11"/>
      <c r="H42" s="11"/>
    </row>
    <row r="43" spans="1:8" x14ac:dyDescent="0.25">
      <c r="A43" s="11"/>
      <c r="B43" s="11"/>
      <c r="C43" s="11"/>
      <c r="D43" s="11"/>
      <c r="E43" s="11"/>
      <c r="F43" s="11"/>
      <c r="G43" s="11"/>
      <c r="H43" s="11"/>
    </row>
    <row r="44" spans="1:8" x14ac:dyDescent="0.25">
      <c r="A44" s="11"/>
      <c r="B44" s="11"/>
      <c r="C44" s="11"/>
      <c r="D44" s="11"/>
      <c r="E44" s="11"/>
      <c r="F44" s="11"/>
      <c r="G44" s="11"/>
      <c r="H44" s="11"/>
    </row>
    <row r="45" spans="1:8" x14ac:dyDescent="0.25">
      <c r="A45" s="11"/>
      <c r="B45" s="11"/>
      <c r="C45" s="11"/>
      <c r="D45" s="11"/>
      <c r="E45" s="11"/>
      <c r="F45" s="11"/>
      <c r="G45" s="11"/>
      <c r="H45" s="11"/>
    </row>
    <row r="46" spans="1:8" x14ac:dyDescent="0.25">
      <c r="A46" s="11"/>
      <c r="B46" s="11"/>
      <c r="C46" s="11"/>
      <c r="D46" s="11"/>
      <c r="E46" s="11"/>
      <c r="F46" s="11"/>
      <c r="G46" s="11"/>
      <c r="H46" s="11"/>
    </row>
    <row r="47" spans="1:8" x14ac:dyDescent="0.25">
      <c r="A47" s="11"/>
      <c r="B47" s="11"/>
      <c r="C47" s="11"/>
      <c r="D47" s="11"/>
      <c r="E47" s="11"/>
      <c r="F47" s="11"/>
      <c r="G47" s="11"/>
      <c r="H47" s="11"/>
    </row>
    <row r="48" spans="1:8" x14ac:dyDescent="0.25">
      <c r="A48" s="11"/>
      <c r="B48" s="11"/>
      <c r="C48" s="11"/>
      <c r="D48" s="11"/>
      <c r="E48" s="11"/>
      <c r="F48" s="11"/>
      <c r="G48" s="11"/>
      <c r="H48" s="11"/>
    </row>
    <row r="49" spans="1:8" x14ac:dyDescent="0.25">
      <c r="A49" s="11"/>
      <c r="B49" s="11"/>
      <c r="C49" s="11"/>
      <c r="D49" s="11"/>
      <c r="E49" s="11"/>
      <c r="F49" s="11"/>
      <c r="G49" s="11"/>
      <c r="H49" s="11"/>
    </row>
    <row r="50" spans="1:8" x14ac:dyDescent="0.25">
      <c r="A50" s="11"/>
      <c r="B50" s="11"/>
      <c r="C50" s="11"/>
      <c r="D50" s="11"/>
      <c r="E50" s="11"/>
      <c r="F50" s="11"/>
      <c r="G50" s="11"/>
      <c r="H50" s="11"/>
    </row>
    <row r="51" spans="1:8" x14ac:dyDescent="0.25">
      <c r="A51" s="11"/>
      <c r="B51" s="11"/>
      <c r="C51" s="11"/>
      <c r="D51" s="11"/>
      <c r="E51" s="11"/>
      <c r="F51" s="11"/>
      <c r="G51" s="11"/>
      <c r="H51" s="11"/>
    </row>
    <row r="52" spans="1:8" x14ac:dyDescent="0.25">
      <c r="A52" s="11"/>
      <c r="B52" s="11"/>
      <c r="C52" s="11"/>
      <c r="D52" s="11"/>
      <c r="E52" s="11"/>
      <c r="F52" s="11"/>
      <c r="G52" s="11"/>
      <c r="H52" s="11"/>
    </row>
    <row r="53" spans="1:8" x14ac:dyDescent="0.25">
      <c r="A53" s="11"/>
      <c r="B53" s="11"/>
      <c r="C53" s="11"/>
      <c r="D53" s="11"/>
      <c r="E53" s="11"/>
      <c r="F53" s="11"/>
      <c r="G53" s="11"/>
      <c r="H53" s="11"/>
    </row>
    <row r="54" spans="1:8" x14ac:dyDescent="0.25">
      <c r="A54" s="11"/>
      <c r="B54" s="11"/>
      <c r="C54" s="11"/>
      <c r="D54" s="11"/>
      <c r="E54" s="11"/>
      <c r="F54" s="11"/>
      <c r="G54" s="11"/>
      <c r="H54" s="11"/>
    </row>
    <row r="55" spans="1:8" x14ac:dyDescent="0.25">
      <c r="A55" s="11"/>
      <c r="B55" s="11"/>
      <c r="C55" s="11"/>
      <c r="D55" s="11"/>
      <c r="E55" s="11"/>
      <c r="F55" s="11"/>
      <c r="G55" s="11"/>
      <c r="H55" s="11"/>
    </row>
    <row r="56" spans="1:8" x14ac:dyDescent="0.25">
      <c r="A56" s="11"/>
      <c r="B56" s="11"/>
      <c r="C56" s="11"/>
      <c r="D56" s="11"/>
      <c r="E56" s="11"/>
      <c r="F56" s="11"/>
      <c r="G56" s="11"/>
      <c r="H56" s="11"/>
    </row>
    <row r="57" spans="1:8" x14ac:dyDescent="0.25">
      <c r="A57" s="11"/>
      <c r="B57" s="11"/>
      <c r="C57" s="11"/>
      <c r="D57" s="11"/>
      <c r="E57" s="11"/>
      <c r="F57" s="11"/>
      <c r="G57" s="11"/>
      <c r="H57" s="11"/>
    </row>
    <row r="58" spans="1:8" x14ac:dyDescent="0.25">
      <c r="A58" s="11"/>
      <c r="B58" s="11"/>
      <c r="C58" s="11"/>
      <c r="D58" s="11"/>
      <c r="E58" s="11"/>
      <c r="F58" s="11"/>
      <c r="G58" s="11"/>
      <c r="H58" s="11"/>
    </row>
  </sheetData>
  <sheetProtection selectLockedCells="1"/>
  <mergeCells count="8">
    <mergeCell ref="H4:I4"/>
    <mergeCell ref="H5:I5"/>
    <mergeCell ref="B4:C4"/>
    <mergeCell ref="B5:C5"/>
    <mergeCell ref="D4:E4"/>
    <mergeCell ref="D5:E5"/>
    <mergeCell ref="F4:G4"/>
    <mergeCell ref="F5:G5"/>
  </mergeCells>
  <conditionalFormatting sqref="H11">
    <cfRule type="containsText" dxfId="0" priority="2" operator="containsText" text="Vencida">
      <formula>NOT(ISERROR(SEARCH("Vencida",H11)))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Início</vt:lpstr>
      <vt:lpstr>Cad_Empresa</vt:lpstr>
      <vt:lpstr>Cad_Veículos</vt:lpstr>
      <vt:lpstr>Cad_Motorista</vt:lpstr>
      <vt:lpstr>Ind_Km_Veículos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2018-11-01T18:11:07Z</dcterms:created>
  <dcterms:modified xsi:type="dcterms:W3CDTF">2024-02-06T21:42:59Z</dcterms:modified>
</cp:coreProperties>
</file>