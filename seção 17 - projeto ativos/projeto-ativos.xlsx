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giova\Desktop\Curso Excel\seção 17 - projeto ativos\"/>
    </mc:Choice>
  </mc:AlternateContent>
  <xr:revisionPtr revIDLastSave="0" documentId="13_ncr:1_{8685D774-F084-483F-AFA2-AEA82E1AF952}" xr6:coauthVersionLast="47" xr6:coauthVersionMax="47" xr10:uidLastSave="{00000000-0000-0000-0000-000000000000}"/>
  <bookViews>
    <workbookView xWindow="-120" yWindow="-120" windowWidth="20730" windowHeight="11160" xr2:uid="{F8A1647F-8371-404A-ADEF-719642055C08}"/>
  </bookViews>
  <sheets>
    <sheet name="Dashboard" sheetId="8" r:id="rId1"/>
    <sheet name="DashboardAux" sheetId="9" state="hidden" r:id="rId2"/>
    <sheet name="ReCarteira" sheetId="7" r:id="rId3"/>
    <sheet name="ReCarteiraAções" sheetId="10" r:id="rId4"/>
    <sheet name="ReCarteiraFII" sheetId="11" r:id="rId5"/>
    <sheet name="ReProventos" sheetId="6" r:id="rId6"/>
    <sheet name="ReAportes" sheetId="5" r:id="rId7"/>
    <sheet name="TbAportes" sheetId="3" r:id="rId8"/>
    <sheet name="TbProventos" sheetId="4" r:id="rId9"/>
    <sheet name="TbAtivos" sheetId="2" r:id="rId10"/>
  </sheets>
  <definedNames>
    <definedName name="ExternalData_1" localSheetId="9" hidden="1">TbAtivos!$A$1:$C$10</definedName>
  </definedNames>
  <calcPr calcId="191029"/>
  <pivotCaches>
    <pivotCache cacheId="0" r:id="rId11"/>
    <pivotCache cacheId="1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1" l="1"/>
  <c r="D5" i="11"/>
  <c r="C5" i="11"/>
  <c r="B5" i="11"/>
  <c r="E4" i="11"/>
  <c r="D4" i="11"/>
  <c r="C4" i="11"/>
  <c r="B4" i="11"/>
  <c r="E3" i="11"/>
  <c r="D3" i="11"/>
  <c r="C3" i="11"/>
  <c r="B3" i="11"/>
  <c r="E2" i="11"/>
  <c r="D2" i="11"/>
  <c r="D6" i="11" s="1"/>
  <c r="C2" i="11"/>
  <c r="B2" i="11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D3" i="10"/>
  <c r="C3" i="10"/>
  <c r="B3" i="10"/>
  <c r="E2" i="10"/>
  <c r="D2" i="10"/>
  <c r="C2" i="10"/>
  <c r="B2" i="10"/>
  <c r="C10" i="9"/>
  <c r="L5" i="9" s="1"/>
  <c r="H1" i="8"/>
  <c r="E2" i="7"/>
  <c r="E3" i="7"/>
  <c r="E4" i="7"/>
  <c r="E5" i="7"/>
  <c r="G5" i="7" s="1"/>
  <c r="E6" i="7"/>
  <c r="E7" i="7"/>
  <c r="E8" i="7"/>
  <c r="G8" i="7" s="1"/>
  <c r="E9" i="7"/>
  <c r="G9" i="7" s="1"/>
  <c r="E10" i="7"/>
  <c r="D2" i="7"/>
  <c r="D3" i="7"/>
  <c r="D4" i="7"/>
  <c r="D5" i="7"/>
  <c r="D6" i="7"/>
  <c r="D7" i="7"/>
  <c r="D8" i="7"/>
  <c r="D9" i="7"/>
  <c r="D10" i="7"/>
  <c r="C2" i="7"/>
  <c r="C3" i="7"/>
  <c r="C4" i="7"/>
  <c r="C5" i="7"/>
  <c r="C6" i="7"/>
  <c r="C7" i="7"/>
  <c r="C8" i="7"/>
  <c r="C9" i="7"/>
  <c r="C10" i="7"/>
  <c r="B2" i="7"/>
  <c r="B3" i="7"/>
  <c r="B4" i="7"/>
  <c r="B5" i="7"/>
  <c r="B6" i="7"/>
  <c r="B7" i="7"/>
  <c r="B8" i="7"/>
  <c r="B9" i="7"/>
  <c r="B10" i="7"/>
  <c r="I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G2" i="11" l="1"/>
  <c r="G3" i="11"/>
  <c r="H3" i="11" s="1"/>
  <c r="G4" i="11"/>
  <c r="I4" i="11" s="1"/>
  <c r="G5" i="11"/>
  <c r="I5" i="11" s="1"/>
  <c r="D7" i="10"/>
  <c r="F6" i="10"/>
  <c r="F2" i="11"/>
  <c r="F3" i="11"/>
  <c r="F4" i="11"/>
  <c r="F5" i="11"/>
  <c r="G2" i="10"/>
  <c r="G3" i="10"/>
  <c r="I3" i="10" s="1"/>
  <c r="G4" i="10"/>
  <c r="H4" i="10" s="1"/>
  <c r="G5" i="10"/>
  <c r="H5" i="10" s="1"/>
  <c r="G6" i="10"/>
  <c r="I6" i="10" s="1"/>
  <c r="F2" i="10"/>
  <c r="F3" i="10"/>
  <c r="F4" i="10"/>
  <c r="F5" i="10"/>
  <c r="I5" i="9"/>
  <c r="H5" i="9"/>
  <c r="G5" i="9"/>
  <c r="D11" i="7"/>
  <c r="I9" i="7"/>
  <c r="I5" i="7"/>
  <c r="I8" i="7"/>
  <c r="G4" i="7"/>
  <c r="I4" i="7" s="1"/>
  <c r="G7" i="7"/>
  <c r="I7" i="7" s="1"/>
  <c r="G3" i="7"/>
  <c r="I3" i="7" s="1"/>
  <c r="G10" i="7"/>
  <c r="I10" i="7" s="1"/>
  <c r="G6" i="7"/>
  <c r="G2" i="7"/>
  <c r="H8" i="7"/>
  <c r="H9" i="7"/>
  <c r="H5" i="7"/>
  <c r="F9" i="7"/>
  <c r="F5" i="7"/>
  <c r="F4" i="7"/>
  <c r="F7" i="7"/>
  <c r="F3" i="7"/>
  <c r="F8" i="7"/>
  <c r="F10" i="7"/>
  <c r="F6" i="7"/>
  <c r="F2" i="7"/>
  <c r="I2" i="11" l="1"/>
  <c r="H2" i="11"/>
  <c r="AD5" i="9"/>
  <c r="AE5" i="9" s="1"/>
  <c r="AC5" i="9" s="1" a="1"/>
  <c r="AC5" i="9" s="1"/>
  <c r="AD9" i="9"/>
  <c r="AD13" i="9"/>
  <c r="AD6" i="9"/>
  <c r="AE6" i="9" s="1"/>
  <c r="AC6" i="9" s="1" a="1"/>
  <c r="AC6" i="9" s="1"/>
  <c r="AD10" i="9"/>
  <c r="AE10" i="9" s="1"/>
  <c r="AC10" i="9" s="1" a="1"/>
  <c r="AC10" i="9" s="1"/>
  <c r="AD8" i="9"/>
  <c r="AE8" i="9" s="1"/>
  <c r="AC8" i="9" s="1" a="1"/>
  <c r="AC8" i="9" s="1"/>
  <c r="AD7" i="9"/>
  <c r="AD11" i="9"/>
  <c r="AE11" i="9" s="1"/>
  <c r="AC11" i="9" s="1" a="1"/>
  <c r="AC11" i="9" s="1"/>
  <c r="AD12" i="9"/>
  <c r="AE12" i="9" s="1"/>
  <c r="AC12" i="9" s="1" a="1"/>
  <c r="AC12" i="9" s="1"/>
  <c r="AD4" i="9"/>
  <c r="AE4" i="9" s="1"/>
  <c r="AC4" i="9" s="1" a="1"/>
  <c r="AC4" i="9" s="1"/>
  <c r="Y5" i="9"/>
  <c r="Y9" i="9"/>
  <c r="Y13" i="9"/>
  <c r="Y6" i="9"/>
  <c r="Y10" i="9"/>
  <c r="Y8" i="9"/>
  <c r="Y7" i="9"/>
  <c r="Y11" i="9"/>
  <c r="Y12" i="9"/>
  <c r="Y4" i="9"/>
  <c r="T4" i="9"/>
  <c r="I3" i="11"/>
  <c r="H2" i="10"/>
  <c r="H4" i="11"/>
  <c r="H5" i="11"/>
  <c r="G6" i="11"/>
  <c r="H6" i="10"/>
  <c r="H3" i="10"/>
  <c r="I2" i="10"/>
  <c r="I4" i="10"/>
  <c r="G7" i="10"/>
  <c r="I5" i="10"/>
  <c r="T5" i="9"/>
  <c r="U5" i="9" s="1"/>
  <c r="S5" i="9" s="1" a="1"/>
  <c r="S5" i="9" s="1"/>
  <c r="T9" i="9"/>
  <c r="U9" i="9" s="1"/>
  <c r="S9" i="9" s="1" a="1"/>
  <c r="S9" i="9" s="1"/>
  <c r="T13" i="9"/>
  <c r="U13" i="9" s="1"/>
  <c r="S13" i="9" s="1" a="1"/>
  <c r="S13" i="9" s="1"/>
  <c r="T6" i="9"/>
  <c r="U6" i="9" s="1"/>
  <c r="S6" i="9" s="1" a="1"/>
  <c r="S6" i="9" s="1"/>
  <c r="T10" i="9"/>
  <c r="U10" i="9" s="1"/>
  <c r="S10" i="9" s="1" a="1"/>
  <c r="S10" i="9" s="1"/>
  <c r="T7" i="9"/>
  <c r="U7" i="9" s="1"/>
  <c r="S7" i="9" s="1" a="1"/>
  <c r="S7" i="9" s="1"/>
  <c r="T11" i="9"/>
  <c r="U11" i="9" s="1"/>
  <c r="S11" i="9" s="1" a="1"/>
  <c r="S11" i="9" s="1"/>
  <c r="T8" i="9"/>
  <c r="U8" i="9" s="1"/>
  <c r="S8" i="9" s="1" a="1"/>
  <c r="S8" i="9" s="1"/>
  <c r="T12" i="9"/>
  <c r="U12" i="9" s="1"/>
  <c r="S12" i="9" s="1" a="1"/>
  <c r="S12" i="9" s="1"/>
  <c r="C13" i="9" a="1"/>
  <c r="C13" i="9" s="1"/>
  <c r="B8" i="8" s="1"/>
  <c r="I6" i="7"/>
  <c r="I6" i="9"/>
  <c r="H6" i="9"/>
  <c r="L3" i="9" s="1"/>
  <c r="H2" i="7"/>
  <c r="G6" i="9"/>
  <c r="G8" i="9" s="1"/>
  <c r="H7" i="7"/>
  <c r="I2" i="7"/>
  <c r="G11" i="7"/>
  <c r="H4" i="7"/>
  <c r="H6" i="7"/>
  <c r="I7" i="9" s="1"/>
  <c r="H10" i="7"/>
  <c r="H3" i="7"/>
  <c r="AD17" i="9" l="1"/>
  <c r="AD21" i="9"/>
  <c r="AD25" i="9"/>
  <c r="AD20" i="9"/>
  <c r="AD18" i="9"/>
  <c r="AD22" i="9"/>
  <c r="AD19" i="9"/>
  <c r="AD23" i="9"/>
  <c r="AD24" i="9"/>
  <c r="AD26" i="9"/>
  <c r="Y17" i="9"/>
  <c r="Z17" i="9" s="1"/>
  <c r="Y21" i="9"/>
  <c r="Z21" i="9" s="1"/>
  <c r="X21" i="9" s="1" a="1"/>
  <c r="X21" i="9" s="1"/>
  <c r="Y25" i="9"/>
  <c r="Y20" i="9"/>
  <c r="Y24" i="9"/>
  <c r="Z24" i="9" s="1"/>
  <c r="X24" i="9" s="1" a="1"/>
  <c r="X24" i="9" s="1"/>
  <c r="Y18" i="9"/>
  <c r="Z18" i="9" s="1"/>
  <c r="X18" i="9" s="1" a="1"/>
  <c r="X18" i="9" s="1"/>
  <c r="Y22" i="9"/>
  <c r="Z22" i="9" s="1"/>
  <c r="Y19" i="9"/>
  <c r="Y23" i="9"/>
  <c r="Z23" i="9" s="1"/>
  <c r="X23" i="9" s="1" a="1"/>
  <c r="X23" i="9" s="1"/>
  <c r="Y26" i="9"/>
  <c r="Z26" i="9" s="1"/>
  <c r="X26" i="9" s="1" a="1"/>
  <c r="X26" i="9" s="1"/>
  <c r="T26" i="9"/>
  <c r="U26" i="9" s="1"/>
  <c r="S26" i="9" s="1" a="1"/>
  <c r="S26" i="9" s="1"/>
  <c r="T17" i="9"/>
  <c r="T21" i="9"/>
  <c r="T25" i="9"/>
  <c r="T18" i="9"/>
  <c r="T22" i="9"/>
  <c r="T24" i="9"/>
  <c r="P24" i="9" s="1"/>
  <c r="T19" i="9"/>
  <c r="T23" i="9"/>
  <c r="T20" i="9"/>
  <c r="X17" i="9" a="1"/>
  <c r="X17" i="9" s="1"/>
  <c r="P17" i="9"/>
  <c r="X22" i="9" a="1"/>
  <c r="X22" i="9" s="1"/>
  <c r="U4" i="9"/>
  <c r="S4" i="9" s="1" a="1"/>
  <c r="S4" i="9" s="1"/>
  <c r="P7" i="9"/>
  <c r="Z11" i="9"/>
  <c r="X11" i="9" s="1" a="1"/>
  <c r="X11" i="9" s="1"/>
  <c r="O11" i="9" s="1"/>
  <c r="P11" i="9"/>
  <c r="Z6" i="9"/>
  <c r="X6" i="9" s="1" a="1"/>
  <c r="X6" i="9" s="1"/>
  <c r="O6" i="9" s="1"/>
  <c r="P6" i="9"/>
  <c r="Z5" i="9"/>
  <c r="X5" i="9" s="1" a="1"/>
  <c r="X5" i="9" s="1"/>
  <c r="O5" i="9" s="1"/>
  <c r="P5" i="9"/>
  <c r="Z8" i="9"/>
  <c r="X8" i="9" s="1" a="1"/>
  <c r="X8" i="9" s="1"/>
  <c r="O8" i="9" s="1"/>
  <c r="P8" i="9"/>
  <c r="Z12" i="9"/>
  <c r="X12" i="9" s="1" a="1"/>
  <c r="X12" i="9" s="1"/>
  <c r="O12" i="9" s="1"/>
  <c r="P12" i="9"/>
  <c r="Z13" i="9"/>
  <c r="X13" i="9" s="1" a="1"/>
  <c r="X13" i="9" s="1"/>
  <c r="P13" i="9"/>
  <c r="Z10" i="9"/>
  <c r="X10" i="9" s="1" a="1"/>
  <c r="X10" i="9" s="1"/>
  <c r="O10" i="9" s="1"/>
  <c r="P10" i="9"/>
  <c r="Z9" i="9"/>
  <c r="X9" i="9" s="1" a="1"/>
  <c r="X9" i="9" s="1"/>
  <c r="P9" i="9"/>
  <c r="Z4" i="9"/>
  <c r="X4" i="9" s="1" a="1"/>
  <c r="X4" i="9" s="1"/>
  <c r="P4" i="9"/>
  <c r="AE9" i="9"/>
  <c r="AC9" i="9" s="1" a="1"/>
  <c r="AC9" i="9" s="1"/>
  <c r="AE7" i="9"/>
  <c r="AC7" i="9" s="1" a="1"/>
  <c r="AC7" i="9" s="1"/>
  <c r="AE13" i="9"/>
  <c r="AC13" i="9" s="1" a="1"/>
  <c r="AC13" i="9" s="1"/>
  <c r="Z7" i="9"/>
  <c r="X7" i="9" s="1" a="1"/>
  <c r="X7" i="9" s="1"/>
  <c r="H6" i="11"/>
  <c r="H7" i="10"/>
  <c r="I8" i="9"/>
  <c r="L4" i="9"/>
  <c r="H8" i="9"/>
  <c r="C14" i="9" a="1"/>
  <c r="C14" i="9" s="1"/>
  <c r="B5" i="8" s="1"/>
  <c r="H7" i="9"/>
  <c r="G7" i="9"/>
  <c r="H11" i="7"/>
  <c r="AE19" i="9" l="1"/>
  <c r="AC19" i="9" s="1" a="1"/>
  <c r="AC19" i="9" s="1"/>
  <c r="AE25" i="9"/>
  <c r="AC25" i="9" s="1" a="1"/>
  <c r="AC25" i="9" s="1"/>
  <c r="AE23" i="9"/>
  <c r="AC23" i="9" s="1" a="1"/>
  <c r="AC23" i="9" s="1"/>
  <c r="AE20" i="9"/>
  <c r="AC20" i="9" s="1" a="1"/>
  <c r="AC20" i="9" s="1"/>
  <c r="AE22" i="9"/>
  <c r="AC22" i="9" s="1" a="1"/>
  <c r="AC22" i="9" s="1"/>
  <c r="AE21" i="9"/>
  <c r="AC21" i="9" s="1" a="1"/>
  <c r="AC21" i="9" s="1"/>
  <c r="AE24" i="9"/>
  <c r="AC24" i="9" s="1" a="1"/>
  <c r="AC24" i="9" s="1"/>
  <c r="AE18" i="9"/>
  <c r="AC18" i="9" s="1" a="1"/>
  <c r="AC18" i="9" s="1"/>
  <c r="AE17" i="9"/>
  <c r="AC17" i="9" s="1" a="1"/>
  <c r="AC17" i="9" s="1"/>
  <c r="P18" i="9"/>
  <c r="AE26" i="9"/>
  <c r="AC26" i="9" s="1" a="1"/>
  <c r="AC26" i="9" s="1"/>
  <c r="O26" i="9" s="1"/>
  <c r="P21" i="9"/>
  <c r="P26" i="9"/>
  <c r="P23" i="9"/>
  <c r="P22" i="9"/>
  <c r="Z19" i="9"/>
  <c r="X19" i="9" s="1" a="1"/>
  <c r="X19" i="9" s="1"/>
  <c r="Z25" i="9"/>
  <c r="X25" i="9" s="1" a="1"/>
  <c r="X25" i="9" s="1"/>
  <c r="Z20" i="9"/>
  <c r="X20" i="9" s="1" a="1"/>
  <c r="X20" i="9" s="1"/>
  <c r="P20" i="9"/>
  <c r="P25" i="9"/>
  <c r="P19" i="9"/>
  <c r="U19" i="9"/>
  <c r="S19" i="9" s="1" a="1"/>
  <c r="S19" i="9" s="1"/>
  <c r="U25" i="9"/>
  <c r="S25" i="9" s="1" a="1"/>
  <c r="S25" i="9" s="1"/>
  <c r="U24" i="9"/>
  <c r="S24" i="9" s="1" a="1"/>
  <c r="S24" i="9" s="1"/>
  <c r="U21" i="9"/>
  <c r="S21" i="9" s="1" a="1"/>
  <c r="S21" i="9" s="1"/>
  <c r="O21" i="9" s="1"/>
  <c r="U20" i="9"/>
  <c r="S20" i="9" s="1" a="1"/>
  <c r="S20" i="9" s="1"/>
  <c r="U22" i="9"/>
  <c r="S22" i="9" s="1" a="1"/>
  <c r="S22" i="9" s="1"/>
  <c r="O22" i="9" s="1"/>
  <c r="U17" i="9"/>
  <c r="S17" i="9" s="1" a="1"/>
  <c r="S17" i="9" s="1"/>
  <c r="O17" i="9" s="1"/>
  <c r="U23" i="9"/>
  <c r="S23" i="9" s="1" a="1"/>
  <c r="S23" i="9" s="1"/>
  <c r="U18" i="9"/>
  <c r="S18" i="9" s="1" a="1"/>
  <c r="S18" i="9" s="1"/>
  <c r="O4" i="9"/>
  <c r="C16" i="9" a="1"/>
  <c r="C16" i="9" s="1"/>
  <c r="B14" i="8" s="1"/>
  <c r="O9" i="9"/>
  <c r="O13" i="9"/>
  <c r="O7" i="9"/>
  <c r="C15" i="9" a="1"/>
  <c r="C15" i="9" s="1"/>
  <c r="B11" i="8" s="1"/>
  <c r="O18" i="9" l="1"/>
  <c r="O23" i="9"/>
  <c r="O24" i="9"/>
  <c r="O25" i="9"/>
  <c r="O19" i="9"/>
  <c r="O20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tc={76FBC7E7-5F6A-41E3-A392-39346DE199EB}</author>
  </authors>
  <commentList>
    <comment ref="L1" authorId="0" shapeId="0" xr:uid="{76FBC7E7-5F6A-41E3-A392-39346DE199EB}">
      <text>
        <t>[Threaded comment]
Your version of Excel allows you to read this threaded comment; however, any edits to it will get removed if the file is opened in a newer version of Excel. Learn more: https://go.microsoft.com/fwlink/?linkid=870924
Comment:
    Deixe em branco para a data de hoje.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tc={CF485D93-E347-475E-8EE6-58A9880BA1D7}</author>
  </authors>
  <commentList>
    <comment ref="L1" authorId="0" shapeId="0" xr:uid="{CF485D93-E347-475E-8EE6-58A9880BA1D7}">
      <text>
        <t>[Threaded comment]
Your version of Excel allows you to read this threaded comment; however, any edits to it will get removed if the file is opened in a newer version of Excel. Learn more: https://go.microsoft.com/fwlink/?linkid=870924
Comment:
    Deixe em branco para a data de hoje.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tc={4A6F8507-571C-4B7D-8B9F-915C96E4945E}</author>
  </authors>
  <commentList>
    <comment ref="L1" authorId="0" shapeId="0" xr:uid="{4A6F8507-571C-4B7D-8B9F-915C96E4945E}">
      <text>
        <t>[Threaded comment]
Your version of Excel allows you to read this threaded comment; however, any edits to it will get removed if the file is opened in a newer version of Excel. Learn more: https://go.microsoft.com/fwlink/?linkid=870924
Comment:
    Deixe em branco para a data de hoje.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58BDE3-1783-472F-8A5A-0C63701AD458}" keepAlive="1" name="Query - pub?output=csv" description="Connection to the 'pub?output=csv' query in the workbook." type="5" refreshedVersion="8" background="1" saveData="1">
    <dbPr connection="Provider=Microsoft.Mashup.OleDb.1;Data Source=$Workbook$;Location=&quot;pub?output=csv&quot;;Extended Properties=&quot;&quot;" command="SELECT * FROM [pub?output=csv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<sst xmlns="http://schemas.openxmlformats.org/spreadsheetml/2006/main" count="318" uniqueCount="84">
  <si>
    <t>ATIVO</t>
  </si>
  <si>
    <t>TIPO</t>
  </si>
  <si>
    <t>COTAÇÃO</t>
  </si>
  <si>
    <t>CSNA3</t>
  </si>
  <si>
    <t>EMPRESA</t>
  </si>
  <si>
    <t>FLRY3</t>
  </si>
  <si>
    <t>ITSA4</t>
  </si>
  <si>
    <t>PETR4</t>
  </si>
  <si>
    <t>HGBS11</t>
  </si>
  <si>
    <t>FII</t>
  </si>
  <si>
    <t>HGLG11</t>
  </si>
  <si>
    <t>HGRE11</t>
  </si>
  <si>
    <t>KNRI11</t>
  </si>
  <si>
    <t>TAEE4</t>
  </si>
  <si>
    <t>Data</t>
  </si>
  <si>
    <t>Ativo</t>
  </si>
  <si>
    <t>Qte</t>
  </si>
  <si>
    <t>Valor unitário</t>
  </si>
  <si>
    <t>Custo</t>
  </si>
  <si>
    <t>Total</t>
  </si>
  <si>
    <t>Tipo</t>
  </si>
  <si>
    <t>Ano</t>
  </si>
  <si>
    <t>Mês</t>
  </si>
  <si>
    <t>Ano/Mês</t>
  </si>
  <si>
    <t>Cod</t>
  </si>
  <si>
    <t>Valor Bruto</t>
  </si>
  <si>
    <t>IR</t>
  </si>
  <si>
    <t>Valor Líquido</t>
  </si>
  <si>
    <t>HGBS12</t>
  </si>
  <si>
    <t>Row Labels</t>
  </si>
  <si>
    <t>Grand Total</t>
  </si>
  <si>
    <t>Column Labels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</si>
  <si>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</si>
  <si>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</si>
  <si>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</si>
  <si>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</si>
  <si>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</si>
  <si>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</si>
  <si>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</si>
  <si>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</si>
  <si>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</si>
  <si>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</si>
  <si>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</si>
  <si>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</si>
  <si>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</si>
  <si>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</si>
  <si>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Sum of Total</t>
  </si>
  <si>
    <t>#N/A</t>
  </si>
  <si>
    <t>Sum of Valor Líquido</t>
  </si>
  <si>
    <t>Cotação</t>
  </si>
  <si>
    <t>Total aportado</t>
  </si>
  <si>
    <t>PM</t>
  </si>
  <si>
    <t>Valorização</t>
  </si>
  <si>
    <t>Valorização %</t>
  </si>
  <si>
    <t>Até qual data?</t>
  </si>
  <si>
    <t>Total Qte</t>
  </si>
  <si>
    <t>Total Aportado</t>
  </si>
  <si>
    <t>Total Atual</t>
  </si>
  <si>
    <t>Carteira atual</t>
  </si>
  <si>
    <t>Até:</t>
  </si>
  <si>
    <t>Caixa:</t>
  </si>
  <si>
    <t>Valores para caixa de combinação</t>
  </si>
  <si>
    <t xml:space="preserve">Tudo </t>
  </si>
  <si>
    <t>Ações</t>
  </si>
  <si>
    <t>Fundos Imobiliários</t>
  </si>
  <si>
    <t>Entradas do usuário</t>
  </si>
  <si>
    <t>Caixa de combinação</t>
  </si>
  <si>
    <t>Valor em caixa</t>
  </si>
  <si>
    <t>Matriz auxiliar: somatório por tipo de ativo</t>
  </si>
  <si>
    <t>Tudo</t>
  </si>
  <si>
    <t>Indicadores-chave de desempenho (KPI)</t>
  </si>
  <si>
    <t>Gráfico: composição do patrimônio</t>
  </si>
  <si>
    <t>Caixa</t>
  </si>
  <si>
    <t>Gráfico: maiores valores</t>
  </si>
  <si>
    <t>Valor</t>
  </si>
  <si>
    <t>Ordem</t>
  </si>
  <si>
    <t>Maiores valores (tudo)</t>
  </si>
  <si>
    <t>Corresp</t>
  </si>
  <si>
    <t>Maiores valores (ações)</t>
  </si>
  <si>
    <t>Maiores valores (FII)</t>
  </si>
  <si>
    <t>Gráfico: maiores valorizações</t>
  </si>
  <si>
    <t>Maiores valorizações (tudo)</t>
  </si>
  <si>
    <t>Maiores valorizações (ações)</t>
  </si>
  <si>
    <t>Maiores valorizações (FII)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</si>
</sst>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164" formatCode="mm/yyyy"/>
    <numFmt numFmtId="165" formatCode="_-&quot;R$&quot;* #,##0.00_-;\-&quot;R$&quot;* #,##0.00_-;_-&quot;R$&quot;* &quot;-&quot;??_-;_-@_-"/>
    <numFmt numFmtId="166" formatCode="0.0%"/>
    <numFmt numFmtId="167" formatCode="&quot;R$&quot;\ #,##0.00"/>
  </numFmts>
  <fonts count="9" x14ac:knownFonts="1">
    <font>
      <sz val="11"/>
      <color theme="1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2" tint="-0.499984740745262"/>
      <name val="Aptos Narrow"/>
      <family val="2"/>
      <scheme val="minor"/>
    </font>
    <font>
      <b/>
      <sz val="12"/>
      <color theme="2" tint="-0.499984740745262"/>
      <name val="Aptos Narrow"/>
      <family val="2"/>
      <scheme val="minor"/>
    </font>
    <font>
      <b/>
      <sz val="18"/>
      <color theme="2" tint="-0.499984740745262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34998626667073579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/>
      <bottom style="thin">
        <color theme="4" tint="0.39994506668294322"/>
      </bottom>
      <diagonal/>
    </border>
    <border>
      <left style="thin">
        <color theme="3" tint="0.499984740745262"/>
      </left>
      <right style="thin">
        <color theme="3" tint="0.499984740745262"/>
      </right>
      <top style="thin">
        <color theme="3" tint="0.499984740745262"/>
      </top>
      <bottom style="thin">
        <color theme="3" tint="0.499984740745262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8">
    <xf numFmtId="0" fontId="0" fillId="0" borderId="0" xfId="0"/>
    <xf numFmtId="44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44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165" fontId="0" fillId="0" borderId="0" xfId="0" applyNumberForma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2" fontId="0" fillId="0" borderId="0" xfId="0" applyNumberFormat="1"/>
    <xf numFmtId="0" fontId="4" fillId="3" borderId="2" xfId="0" applyFont="1" applyFill="1" applyBorder="1"/>
    <xf numFmtId="44" fontId="0" fillId="0" borderId="0" xfId="0" applyNumberFormat="1"/>
    <xf numFmtId="166" fontId="0" fillId="0" borderId="0" xfId="1" applyNumberFormat="1" applyFont="1"/>
    <xf numFmtId="166" fontId="0" fillId="0" borderId="0" xfId="0" applyNumberFormat="1"/>
    <xf numFmtId="0" fontId="0" fillId="4" borderId="0" xfId="0" applyFill="1"/>
    <xf numFmtId="14" fontId="5" fillId="2" borderId="1" xfId="0" applyNumberFormat="1" applyFont="1" applyFill="1" applyBorder="1"/>
    <xf numFmtId="0" fontId="0" fillId="4" borderId="4" xfId="0" applyFill="1" applyBorder="1"/>
    <xf numFmtId="14" fontId="6" fillId="4" borderId="0" xfId="0" applyNumberFormat="1" applyFont="1" applyFill="1" applyAlignment="1">
      <alignment horizontal="center" vertical="center"/>
    </xf>
    <xf numFmtId="0" fontId="7" fillId="0" borderId="0" xfId="0" applyFont="1"/>
    <xf numFmtId="0" fontId="7" fillId="4" borderId="0" xfId="0" applyFont="1" applyFill="1" applyAlignment="1">
      <alignment horizontal="right" vertical="center"/>
    </xf>
    <xf numFmtId="0" fontId="8" fillId="4" borderId="0" xfId="0" applyFont="1" applyFill="1" applyAlignment="1">
      <alignment horizontal="right" vertical="center"/>
    </xf>
    <xf numFmtId="167" fontId="6" fillId="4" borderId="5" xfId="0" applyNumberFormat="1" applyFont="1" applyFill="1" applyBorder="1" applyAlignment="1">
      <alignment horizontal="center" vertical="center"/>
    </xf>
    <xf numFmtId="0" fontId="0" fillId="6" borderId="0" xfId="0" applyFill="1"/>
    <xf numFmtId="0" fontId="0" fillId="7" borderId="0" xfId="0" applyFill="1"/>
    <xf numFmtId="0" fontId="4" fillId="8" borderId="0" xfId="0" applyFont="1" applyFill="1" applyAlignment="1">
      <alignment horizontal="center"/>
    </xf>
    <xf numFmtId="0" fontId="0" fillId="7" borderId="0" xfId="0" applyFill="1" applyAlignment="1">
      <alignment horizontal="center" vertical="center"/>
    </xf>
    <xf numFmtId="167" fontId="0" fillId="6" borderId="0" xfId="0" applyNumberFormat="1" applyFill="1"/>
    <xf numFmtId="166" fontId="0" fillId="6" borderId="0" xfId="0" applyNumberFormat="1" applyFill="1"/>
    <xf numFmtId="167" fontId="0" fillId="6" borderId="0" xfId="0" applyNumberFormat="1" applyFill="1" applyAlignment="1">
      <alignment horizontal="center"/>
    </xf>
    <xf numFmtId="166" fontId="0" fillId="6" borderId="0" xfId="0" applyNumberFormat="1" applyFill="1" applyAlignment="1">
      <alignment horizontal="center"/>
    </xf>
    <xf numFmtId="10" fontId="6" fillId="4" borderId="5" xfId="0" applyNumberFormat="1" applyFont="1" applyFill="1" applyBorder="1" applyAlignment="1">
      <alignment horizontal="center" vertical="center"/>
    </xf>
    <xf numFmtId="1" fontId="0" fillId="6" borderId="0" xfId="0" applyNumberFormat="1" applyFill="1" applyAlignment="1">
      <alignment horizontal="center"/>
    </xf>
    <xf numFmtId="0" fontId="4" fillId="8" borderId="0" xfId="0" applyFont="1" applyFill="1" applyAlignment="1">
      <alignment horizontal="center"/>
    </xf>
    <xf numFmtId="10" fontId="0" fillId="6" borderId="0" xfId="0" applyNumberFormat="1" applyFill="1" applyAlignment="1">
      <alignment horizontal="center"/>
    </xf>
    <xf numFmtId="10" fontId="0" fillId="0" borderId="0" xfId="0" applyNumberFormat="1"/>
    <xf numFmtId="167" fontId="0" fillId="5" borderId="3" xfId="0" applyNumberFormat="1" applyFill="1" applyBorder="1" applyAlignment="1" applyProtection="1">
      <alignment vertical="center"/>
      <protection locked="0"/>
    </xf>
  </cellXfs>
  <cellStyles count="2">
    <cellStyle name="Normal" xfId="0" builtinId="0"/>
    <cellStyle name="Percent" xfId="1" builtinId="5"/>
  </cellStyles>
  <dxfs count="75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numFmt numFmtId="0" formatCode="General"/>
    </dxf>
    <dxf>
      <numFmt numFmtId="0" formatCode="General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19" formatCode="dd/mm/yyyy"/>
      <alignment horizontal="general" vertical="center" textRotation="0" wrapText="0" indent="0" justifyLastLine="0" shrinkToFit="0" readingOrder="0"/>
    </dxf>
    <dxf>
      <numFmt numFmtId="165" formatCode="_-&quot;R$&quot;* #,##0.00_-;\-&quot;R$&quot;* #,##0.00_-;_-&quot;R$&quot;* &quot;-&quot;??_-;_-@_-"/>
      <alignment horizontal="general" vertical="center" textRotation="0" wrapText="0" indent="0" justifyLastLine="0" shrinkToFit="0" readingOrder="0"/>
    </dxf>
    <dxf>
      <numFmt numFmtId="165" formatCode="_-&quot;R$&quot;* #,##0.00_-;\-&quot;R$&quot;* #,##0.00_-;_-&quot;R$&quot;* &quot;-&quot;??_-;_-@_-"/>
      <alignment horizontal="general" vertical="center" textRotation="0" wrapText="0" indent="0" justifyLastLine="0" shrinkToFit="0" readingOrder="0"/>
    </dxf>
    <dxf>
      <numFmt numFmtId="165" formatCode="_-&quot;R$&quot;* #,##0.00_-;\-&quot;R$&quot;* #,##0.00_-;_-&quot;R$&quot;* &quot;-&quot;??_-;_-@_-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65" formatCode="_-&quot;R$&quot;* #,##0.00_-;\-&quot;R$&quot;* #,##0.00_-;_-&quot;R$&quot;* &quot;-&quot;??_-;_-@_-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B050"/>
        <name val="Aptos Narrow"/>
        <family val="2"/>
        <scheme val="minor"/>
      </font>
      <numFmt numFmtId="164" formatCode="mm/yyyy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B050"/>
        <name val="Aptos Narrow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B050"/>
        <name val="Aptos Narrow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B050"/>
        <name val="Aptos Narrow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3" tint="0.249977111117893"/>
        <name val="Aptos Narrow"/>
        <family val="2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general" vertical="center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9" formatCode="dd/mm/yyyy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66" formatCode="0.0%"/>
    </dxf>
    <dxf>
      <numFmt numFmtId="166" formatCode="0.0%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166" formatCode="0.0%"/>
    </dxf>
    <dxf>
      <numFmt numFmtId="166" formatCode="0.0%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166" formatCode="0.0%"/>
    </dxf>
    <dxf>
      <numFmt numFmtId="166" formatCode="0.0%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Composição do Patrimônio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971-4F02-A633-91679C767210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971-4F02-A633-91679C767210}"/>
              </c:ext>
            </c:extLst>
          </c:dPt>
          <c:dPt>
            <c:idx val="2"/>
            <c:bubble3D val="0"/>
            <c:spPr>
              <a:solidFill>
                <a:schemeClr val="accent1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971-4F02-A633-91679C76721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DashboardAux!$K$3:$K$5</c:f>
              <c:strCache>
                <c:ptCount val="3"/>
                <c:pt idx="0">
                  <c:v>Ações</c:v>
                </c:pt>
                <c:pt idx="1">
                  <c:v>FII</c:v>
                </c:pt>
                <c:pt idx="2">
                  <c:v>Caixa</c:v>
                </c:pt>
              </c:strCache>
            </c:strRef>
          </c:cat>
          <c:val>
            <c:numRef>
              <c:f>DashboardAux!$L$3:$L$5</c:f>
              <c:numCache>
                <c:formatCode>"R$"\ #,##0.00</c:formatCode>
                <c:ptCount val="3"/>
                <c:pt idx="0">
                  <c:v>27979</c:v>
                </c:pt>
                <c:pt idx="1">
                  <c:v>8200.14</c:v>
                </c:pt>
                <c:pt idx="2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971-4F02-A633-91679C76721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  <c:holeSize val="5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2700" cap="flat" cmpd="sng" algn="ctr">
      <a:solidFill>
        <a:schemeClr val="tx2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Maiores Valores Atuais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DashboardAux!$P$4</c:f>
              <c:strCache>
                <c:ptCount val="1"/>
                <c:pt idx="0">
                  <c:v>-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8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378652754075597"/>
                      <c:h val="9.458333333333333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B245-4742-8CDE-F037AC4591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DashboardAux!$O$5:$O$13</c:f>
              <c:strCache>
                <c:ptCount val="9"/>
                <c:pt idx="0">
                  <c:v>-</c:v>
                </c:pt>
                <c:pt idx="1">
                  <c:v>-</c:v>
                </c:pt>
                <c:pt idx="2">
                  <c:v>-</c:v>
                </c:pt>
                <c:pt idx="3">
                  <c:v>-</c:v>
                </c:pt>
                <c:pt idx="4">
                  <c:v>-</c:v>
                </c:pt>
                <c:pt idx="5">
                  <c:v>KNRI11</c:v>
                </c:pt>
                <c:pt idx="6">
                  <c:v>HGRE11</c:v>
                </c:pt>
                <c:pt idx="7">
                  <c:v>HGBS11</c:v>
                </c:pt>
                <c:pt idx="8">
                  <c:v>HGLG11</c:v>
                </c:pt>
              </c:strCache>
            </c:strRef>
          </c:cat>
          <c:val>
            <c:numRef>
              <c:f>DashboardAux!$P$5:$P$13</c:f>
              <c:numCache>
                <c:formatCode>"R$"\ #,##0.00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1318</c:v>
                </c:pt>
                <c:pt idx="6">
                  <c:v>1932.15</c:v>
                </c:pt>
                <c:pt idx="7">
                  <c:v>2065.77</c:v>
                </c:pt>
                <c:pt idx="8">
                  <c:v>2884.22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45-4742-8CDE-F037AC4591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804834344"/>
        <c:axId val="804830744"/>
      </c:barChart>
      <c:catAx>
        <c:axId val="804834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830744"/>
        <c:crosses val="autoZero"/>
        <c:auto val="1"/>
        <c:lblAlgn val="ctr"/>
        <c:lblOffset val="100"/>
        <c:noMultiLvlLbl val="0"/>
      </c:catAx>
      <c:valAx>
        <c:axId val="804830744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804834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2700" cap="flat" cmpd="sng" algn="ctr">
      <a:solidFill>
        <a:schemeClr val="tx2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Maiores Valorizações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DashboardAux!$O$17:$O$26</c:f>
              <c:strCache>
                <c:ptCount val="10"/>
                <c:pt idx="0">
                  <c:v>-</c:v>
                </c:pt>
                <c:pt idx="1">
                  <c:v>-</c:v>
                </c:pt>
                <c:pt idx="2">
                  <c:v>-</c:v>
                </c:pt>
                <c:pt idx="3">
                  <c:v>-</c:v>
                </c:pt>
                <c:pt idx="4">
                  <c:v>-</c:v>
                </c:pt>
                <c:pt idx="5">
                  <c:v>-</c:v>
                </c:pt>
                <c:pt idx="6">
                  <c:v>HGRE11</c:v>
                </c:pt>
                <c:pt idx="7">
                  <c:v>KNRI11</c:v>
                </c:pt>
                <c:pt idx="8">
                  <c:v>HGBS11</c:v>
                </c:pt>
                <c:pt idx="9">
                  <c:v>HGLG11</c:v>
                </c:pt>
              </c:strCache>
            </c:strRef>
          </c:cat>
          <c:val>
            <c:numRef>
              <c:f>DashboardAux!$P$17:$P$26</c:f>
              <c:numCache>
                <c:formatCode>"R$"\ #,##0.00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0.00%">
                  <c:v>0</c:v>
                </c:pt>
                <c:pt idx="6" formatCode="0.00%">
                  <c:v>-3.414536020260206E-3</c:v>
                </c:pt>
                <c:pt idx="7" formatCode="0.00%">
                  <c:v>0.18813666276029939</c:v>
                </c:pt>
                <c:pt idx="8" formatCode="0.00%">
                  <c:v>0.20498731297576356</c:v>
                </c:pt>
                <c:pt idx="9" formatCode="0.00%">
                  <c:v>0.22690476899451673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4C-4417-AB63-3BB97D4AB7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804826064"/>
        <c:axId val="804832184"/>
      </c:barChart>
      <c:catAx>
        <c:axId val="804826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832184"/>
        <c:crosses val="autoZero"/>
        <c:auto val="1"/>
        <c:lblAlgn val="ctr"/>
        <c:lblOffset val="100"/>
        <c:noMultiLvlLbl val="0"/>
      </c:catAx>
      <c:valAx>
        <c:axId val="804832184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804826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2700" cap="flat" cmpd="sng" algn="ctr">
      <a:solidFill>
        <a:schemeClr val="tx2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Style="combo" dx="22" fmlaLink="DashboardAux!$C$9" fmlaRange="DashboardAux!$C$4:$C$6" noThreeD="1" sel="3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0</xdr:rowOff>
        </xdr:from>
        <xdr:to>
          <xdr:col>2</xdr:col>
          <xdr:colOff>19050</xdr:colOff>
          <xdr:row>0</xdr:row>
          <xdr:rowOff>304800</xdr:rowOff>
        </xdr:to>
        <xdr:sp macro="" textlink="">
          <xdr:nvSpPr>
            <xdr:cNvPr id="7169" name="Drop Down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0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3</xdr:col>
      <xdr:colOff>1</xdr:colOff>
      <xdr:row>3</xdr:row>
      <xdr:rowOff>190499</xdr:rowOff>
    </xdr:from>
    <xdr:to>
      <xdr:col>4</xdr:col>
      <xdr:colOff>1524001</xdr:colOff>
      <xdr:row>13</xdr:row>
      <xdr:rowOff>523724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1690688</xdr:colOff>
      <xdr:row>3</xdr:row>
      <xdr:rowOff>190499</xdr:rowOff>
    </xdr:from>
    <xdr:to>
      <xdr:col>6</xdr:col>
      <xdr:colOff>547689</xdr:colOff>
      <xdr:row>13</xdr:row>
      <xdr:rowOff>523724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9A2F272-CB15-48C1-BE76-BE2496CBD5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714375</xdr:colOff>
      <xdr:row>3</xdr:row>
      <xdr:rowOff>190499</xdr:rowOff>
    </xdr:from>
    <xdr:to>
      <xdr:col>8</xdr:col>
      <xdr:colOff>123825</xdr:colOff>
      <xdr:row>13</xdr:row>
      <xdr:rowOff>523724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31823BF-3FB9-4392-B315-99334596DC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Giovany Almeida" id="{27ABD631-9619-4162-AB4B-6E46B282E6F4}" userId="16feef22676f9440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5359.506037037034" createdVersion="8" refreshedVersion="8" minRefreshableVersion="3" recordCount="28" xr:uid="{C60D17CF-D0ED-46AB-A6DE-D2E434702629}">
  <cacheSource type="worksheet">
    <worksheetSource name="TbAportes"/>
  </cacheSource>
  <cacheFields count="10">
    <cacheField name="Data" numFmtId="14">
      <sharedItems containsSemiMixedTypes="0" containsNonDate="0" containsDate="1" containsString="0" minDate="2018-12-10T00:00:00" maxDate="2020-01-11T00:00:00"/>
    </cacheField>
    <cacheField name="Ativo" numFmtId="0">
      <sharedItems count="9">
        <s v="ITSA4"/>
        <s v="CSNA3"/>
        <s v="PETR4"/>
        <s v="HGLG11"/>
        <s v="HGRE11"/>
        <s v="FLRY3"/>
        <s v="HGBS11"/>
        <s v="KNRI11"/>
        <s v="TAEE4"/>
      </sharedItems>
    </cacheField>
    <cacheField name="Qte" numFmtId="0">
      <sharedItems containsSemiMixedTypes="0" containsString="0" containsNumber="1" containsInteger="1" minValue="1" maxValue="100"/>
    </cacheField>
    <cacheField name="Valor unitário" numFmtId="44">
      <sharedItems containsSemiMixedTypes="0" containsString="0" containsNumber="1" minValue="7.51" maxValue="194.23"/>
    </cacheField>
    <cacheField name="Custo" numFmtId="44">
      <sharedItems containsSemiMixedTypes="0" containsString="0" containsNumber="1" containsInteger="1" minValue="0" maxValue="10"/>
    </cacheField>
    <cacheField name="Total" numFmtId="44">
      <sharedItems containsSemiMixedTypes="0" containsString="0" containsNumber="1" minValue="191.74" maxValue="2042"/>
    </cacheField>
    <cacheField name="Tipo" numFmtId="0">
      <sharedItems count="2">
        <s v="EMPRESA"/>
        <s v="FII"/>
      </sharedItems>
    </cacheField>
    <cacheField name="Ano" numFmtId="0">
      <sharedItems containsSemiMixedTypes="0" containsString="0" containsNumber="1" containsInteger="1" minValue="2018" maxValue="2020" count="3">
        <n v="2018"/>
        <n v="2019"/>
        <n v="2020"/>
      </sharedItems>
    </cacheField>
    <cacheField name="Mês" numFmtId="0">
      <sharedItems containsSemiMixedTypes="0" containsString="0" containsNumber="1" containsInteger="1" minValue="1" maxValue="12" count="12">
        <n v="12"/>
        <n v="1"/>
        <n v="2"/>
        <n v="3"/>
        <n v="4"/>
        <n v="5"/>
        <n v="6"/>
        <n v="7"/>
        <n v="8"/>
        <n v="9"/>
        <n v="10"/>
        <n v="11"/>
      </sharedItems>
    </cacheField>
    <cacheField name="Ano/Mês" numFmtId="164">
      <sharedItems count="14">
        <s v="2018/12"/>
        <s v="2019/01"/>
        <s v="2019/02"/>
        <s v="2019/03"/>
        <s v="2019/04"/>
        <s v="2019/05"/>
        <s v="2019/06"/>
        <s v="2019/07"/>
        <s v="2019/08"/>
        <s v="2019/09"/>
        <s v="2019/10"/>
        <s v="2019/11"/>
        <s v="2019/12"/>
        <s v="2020/0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5359.527353935184" createdVersion="8" refreshedVersion="8" minRefreshableVersion="3" recordCount="71" xr:uid="{A3545D15-E6CF-4279-9361-A1EB537FF395}">
  <cacheSource type="worksheet">
    <worksheetSource name="TbProventos"/>
  </cacheSource>
  <cacheFields count="9">
    <cacheField name="Cod" numFmtId="0">
      <sharedItems containsSemiMixedTypes="0" containsString="0" containsNumber="1" containsInteger="1" minValue="13" maxValue="50"/>
    </cacheField>
    <cacheField name="Ativo" numFmtId="0">
      <sharedItems count="10">
        <s v="ITSA4"/>
        <s v="HGBS11"/>
        <s v="HGLG11"/>
        <s v="HGRE11"/>
        <s v="KNRI11"/>
        <s v="PETR4"/>
        <s v="HGBS12"/>
        <s v="FLRY3"/>
        <s v="TAEE4"/>
        <s v="CSNA3"/>
      </sharedItems>
    </cacheField>
    <cacheField name="Qte" numFmtId="0">
      <sharedItems containsSemiMixedTypes="0" containsString="0" containsNumber="1" containsInteger="1" minValue="100" maxValue="100"/>
    </cacheField>
    <cacheField name="Valor Bruto" numFmtId="165">
      <sharedItems containsSemiMixedTypes="0" containsString="0" containsNumber="1" minValue="0" maxValue="180.6"/>
    </cacheField>
    <cacheField name="IR" numFmtId="165">
      <sharedItems containsSemiMixedTypes="0" containsString="0" containsNumber="1" minValue="0" maxValue="6"/>
    </cacheField>
    <cacheField name="Valor Líquido" numFmtId="165">
      <sharedItems containsSemiMixedTypes="0" containsString="0" containsNumber="1" minValue="0" maxValue="180.6"/>
    </cacheField>
    <cacheField name="Data" numFmtId="14">
      <sharedItems containsSemiMixedTypes="0" containsNonDate="0" containsDate="1" containsString="0" minDate="2018-12-15T00:00:00" maxDate="2020-01-18T00:00:00"/>
    </cacheField>
    <cacheField name="Ano/Mês" numFmtId="0">
      <sharedItems count="12">
        <s v="2018/12"/>
        <s v="2019/01"/>
        <s v="2019/02"/>
        <s v="2019/03"/>
        <s v="2019/04"/>
        <s v="2019/05"/>
        <s v="2019/06"/>
        <s v="2019/07"/>
        <s v="2019/08"/>
        <s v="2019/09"/>
        <s v="2019/10"/>
        <s v="2020/01"/>
      </sharedItems>
    </cacheField>
    <cacheField name="Tipo" numFmtId="0">
      <sharedItems count="3">
        <s v="EMPRESA"/>
        <s v="FII"/>
        <e v="#N/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d v="2018-12-10T00:00:00"/>
    <x v="0"/>
    <n v="100"/>
    <n v="7.51"/>
    <n v="10"/>
    <n v="761"/>
    <x v="0"/>
    <x v="0"/>
    <x v="0"/>
    <x v="0"/>
  </r>
  <r>
    <d v="2018-12-10T00:00:00"/>
    <x v="1"/>
    <n v="100"/>
    <n v="8.23"/>
    <n v="10"/>
    <n v="833"/>
    <x v="0"/>
    <x v="0"/>
    <x v="0"/>
    <x v="0"/>
  </r>
  <r>
    <d v="2019-01-10T00:00:00"/>
    <x v="2"/>
    <n v="100"/>
    <n v="16.34"/>
    <n v="10"/>
    <n v="1644"/>
    <x v="0"/>
    <x v="1"/>
    <x v="1"/>
    <x v="1"/>
  </r>
  <r>
    <d v="2019-01-10T00:00:00"/>
    <x v="3"/>
    <n v="5"/>
    <n v="140.97999999999999"/>
    <n v="0"/>
    <n v="704.9"/>
    <x v="1"/>
    <x v="1"/>
    <x v="1"/>
    <x v="1"/>
  </r>
  <r>
    <d v="2019-02-10T00:00:00"/>
    <x v="0"/>
    <n v="100"/>
    <n v="7.78"/>
    <n v="10"/>
    <n v="788"/>
    <x v="0"/>
    <x v="1"/>
    <x v="2"/>
    <x v="2"/>
  </r>
  <r>
    <d v="2019-02-10T00:00:00"/>
    <x v="4"/>
    <n v="8"/>
    <n v="123.94"/>
    <n v="0"/>
    <n v="991.52"/>
    <x v="1"/>
    <x v="1"/>
    <x v="2"/>
    <x v="2"/>
  </r>
  <r>
    <d v="2019-03-10T00:00:00"/>
    <x v="5"/>
    <n v="100"/>
    <n v="19.75"/>
    <n v="10"/>
    <n v="1985"/>
    <x v="0"/>
    <x v="1"/>
    <x v="3"/>
    <x v="3"/>
  </r>
  <r>
    <d v="2019-03-10T00:00:00"/>
    <x v="6"/>
    <n v="3"/>
    <n v="183.82"/>
    <n v="0"/>
    <n v="551.46"/>
    <x v="1"/>
    <x v="1"/>
    <x v="3"/>
    <x v="3"/>
  </r>
  <r>
    <d v="2019-04-10T00:00:00"/>
    <x v="3"/>
    <n v="2"/>
    <n v="121.34"/>
    <n v="0"/>
    <n v="242.68"/>
    <x v="1"/>
    <x v="1"/>
    <x v="4"/>
    <x v="4"/>
  </r>
  <r>
    <d v="2019-04-10T00:00:00"/>
    <x v="7"/>
    <n v="3"/>
    <n v="131.05000000000001"/>
    <n v="0"/>
    <n v="393.15000000000003"/>
    <x v="1"/>
    <x v="1"/>
    <x v="4"/>
    <x v="4"/>
  </r>
  <r>
    <d v="2019-05-10T00:00:00"/>
    <x v="1"/>
    <n v="100"/>
    <n v="9.4499999999999993"/>
    <n v="10"/>
    <n v="954.99999999999989"/>
    <x v="0"/>
    <x v="1"/>
    <x v="5"/>
    <x v="5"/>
  </r>
  <r>
    <d v="2019-05-10T00:00:00"/>
    <x v="8"/>
    <n v="100"/>
    <n v="7.56"/>
    <n v="10"/>
    <n v="766"/>
    <x v="0"/>
    <x v="1"/>
    <x v="5"/>
    <x v="5"/>
  </r>
  <r>
    <d v="2019-06-10T00:00:00"/>
    <x v="4"/>
    <n v="5"/>
    <n v="135.81"/>
    <n v="0"/>
    <n v="679.05"/>
    <x v="1"/>
    <x v="1"/>
    <x v="6"/>
    <x v="6"/>
  </r>
  <r>
    <d v="2019-06-10T00:00:00"/>
    <x v="2"/>
    <n v="100"/>
    <n v="15.81"/>
    <n v="10"/>
    <n v="1591"/>
    <x v="0"/>
    <x v="1"/>
    <x v="6"/>
    <x v="6"/>
  </r>
  <r>
    <d v="2019-07-10T00:00:00"/>
    <x v="5"/>
    <n v="100"/>
    <n v="20.32"/>
    <n v="10"/>
    <n v="2042"/>
    <x v="0"/>
    <x v="1"/>
    <x v="7"/>
    <x v="7"/>
  </r>
  <r>
    <d v="2019-07-10T00:00:00"/>
    <x v="6"/>
    <n v="1"/>
    <n v="191.74"/>
    <n v="0"/>
    <n v="191.74"/>
    <x v="1"/>
    <x v="1"/>
    <x v="7"/>
    <x v="7"/>
  </r>
  <r>
    <d v="2019-08-10T00:00:00"/>
    <x v="3"/>
    <n v="7"/>
    <n v="138.94"/>
    <n v="0"/>
    <n v="972.57999999999993"/>
    <x v="1"/>
    <x v="1"/>
    <x v="8"/>
    <x v="8"/>
  </r>
  <r>
    <d v="2019-08-10T00:00:00"/>
    <x v="2"/>
    <n v="100"/>
    <n v="17.559999999999999"/>
    <n v="10"/>
    <n v="1765.9999999999998"/>
    <x v="0"/>
    <x v="1"/>
    <x v="8"/>
    <x v="8"/>
  </r>
  <r>
    <d v="2019-09-10T00:00:00"/>
    <x v="1"/>
    <n v="100"/>
    <n v="10.119999999999999"/>
    <n v="10"/>
    <n v="1021.9999999999999"/>
    <x v="0"/>
    <x v="1"/>
    <x v="9"/>
    <x v="9"/>
  </r>
  <r>
    <d v="2019-09-10T00:00:00"/>
    <x v="4"/>
    <n v="2"/>
    <n v="134.1"/>
    <n v="0"/>
    <n v="268.2"/>
    <x v="1"/>
    <x v="1"/>
    <x v="9"/>
    <x v="9"/>
  </r>
  <r>
    <d v="2019-10-10T00:00:00"/>
    <x v="2"/>
    <n v="100"/>
    <n v="16.03"/>
    <n v="10"/>
    <n v="1613"/>
    <x v="0"/>
    <x v="1"/>
    <x v="10"/>
    <x v="10"/>
  </r>
  <r>
    <d v="2019-10-10T00:00:00"/>
    <x v="6"/>
    <n v="5"/>
    <n v="194.23"/>
    <n v="0"/>
    <n v="971.15"/>
    <x v="1"/>
    <x v="1"/>
    <x v="10"/>
    <x v="10"/>
  </r>
  <r>
    <d v="2019-11-10T00:00:00"/>
    <x v="0"/>
    <n v="100"/>
    <n v="9.5299999999999994"/>
    <n v="10"/>
    <n v="962.99999999999989"/>
    <x v="0"/>
    <x v="1"/>
    <x v="11"/>
    <x v="11"/>
  </r>
  <r>
    <d v="2019-11-10T00:00:00"/>
    <x v="3"/>
    <n v="3"/>
    <n v="143.55000000000001"/>
    <n v="0"/>
    <n v="430.65000000000003"/>
    <x v="1"/>
    <x v="1"/>
    <x v="11"/>
    <x v="11"/>
  </r>
  <r>
    <d v="2019-12-10T00:00:00"/>
    <x v="7"/>
    <n v="5"/>
    <n v="143.22999999999999"/>
    <n v="0"/>
    <n v="716.15"/>
    <x v="1"/>
    <x v="1"/>
    <x v="0"/>
    <x v="12"/>
  </r>
  <r>
    <d v="2019-12-10T00:00:00"/>
    <x v="8"/>
    <n v="100"/>
    <n v="8.59"/>
    <n v="10"/>
    <n v="869"/>
    <x v="0"/>
    <x v="1"/>
    <x v="0"/>
    <x v="12"/>
  </r>
  <r>
    <d v="2020-01-10T00:00:00"/>
    <x v="7"/>
    <n v="10"/>
    <n v="152.6"/>
    <n v="0"/>
    <n v="1526"/>
    <x v="1"/>
    <x v="2"/>
    <x v="1"/>
    <x v="13"/>
  </r>
  <r>
    <d v="2020-01-10T00:00:00"/>
    <x v="4"/>
    <n v="4"/>
    <n v="138.44999999999999"/>
    <n v="0"/>
    <n v="553.79999999999995"/>
    <x v="1"/>
    <x v="2"/>
    <x v="1"/>
    <x v="1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">
  <r>
    <n v="13"/>
    <x v="0"/>
    <n v="100"/>
    <n v="39.479999999999997"/>
    <n v="0"/>
    <n v="39.479999999999997"/>
    <d v="2018-12-15T00:00:00"/>
    <x v="0"/>
    <x v="0"/>
  </r>
  <r>
    <n v="14"/>
    <x v="1"/>
    <n v="100"/>
    <n v="63"/>
    <n v="0"/>
    <n v="63"/>
    <d v="2018-12-17T00:00:00"/>
    <x v="0"/>
    <x v="1"/>
  </r>
  <r>
    <n v="14"/>
    <x v="2"/>
    <n v="100"/>
    <n v="81"/>
    <n v="0"/>
    <n v="81"/>
    <d v="2018-12-17T00:00:00"/>
    <x v="0"/>
    <x v="1"/>
  </r>
  <r>
    <n v="14"/>
    <x v="3"/>
    <n v="100"/>
    <n v="38.89"/>
    <n v="0"/>
    <n v="38.89"/>
    <d v="2018-12-17T00:00:00"/>
    <x v="0"/>
    <x v="1"/>
  </r>
  <r>
    <n v="14"/>
    <x v="4"/>
    <n v="100"/>
    <n v="34.770000000000003"/>
    <n v="0"/>
    <n v="34.770000000000003"/>
    <d v="2018-12-17T00:00:00"/>
    <x v="0"/>
    <x v="1"/>
  </r>
  <r>
    <n v="13"/>
    <x v="5"/>
    <n v="100"/>
    <n v="67"/>
    <n v="6"/>
    <n v="61"/>
    <d v="2019-01-15T00:00:00"/>
    <x v="1"/>
    <x v="0"/>
  </r>
  <r>
    <n v="14"/>
    <x v="1"/>
    <n v="100"/>
    <n v="75.709999999999994"/>
    <n v="0"/>
    <n v="75.709999999999994"/>
    <d v="2019-01-17T00:00:00"/>
    <x v="1"/>
    <x v="1"/>
  </r>
  <r>
    <n v="14"/>
    <x v="2"/>
    <n v="100"/>
    <n v="39.36"/>
    <n v="0"/>
    <n v="39.36"/>
    <d v="2019-01-17T00:00:00"/>
    <x v="1"/>
    <x v="1"/>
  </r>
  <r>
    <n v="14"/>
    <x v="3"/>
    <n v="100"/>
    <n v="51.8"/>
    <n v="0"/>
    <n v="51.8"/>
    <d v="2019-01-17T00:00:00"/>
    <x v="1"/>
    <x v="1"/>
  </r>
  <r>
    <n v="14"/>
    <x v="4"/>
    <n v="100"/>
    <n v="61.75"/>
    <n v="0"/>
    <n v="61.75"/>
    <d v="2019-01-17T00:00:00"/>
    <x v="1"/>
    <x v="1"/>
  </r>
  <r>
    <n v="13"/>
    <x v="0"/>
    <n v="100"/>
    <n v="65.430000000000007"/>
    <n v="0"/>
    <n v="65.430000000000007"/>
    <d v="2019-02-15T00:00:00"/>
    <x v="2"/>
    <x v="0"/>
  </r>
  <r>
    <n v="50"/>
    <x v="6"/>
    <n v="100"/>
    <n v="0"/>
    <n v="0"/>
    <n v="0"/>
    <d v="2019-02-15T00:00:00"/>
    <x v="2"/>
    <x v="2"/>
  </r>
  <r>
    <n v="14"/>
    <x v="1"/>
    <n v="100"/>
    <n v="61"/>
    <n v="0"/>
    <n v="61"/>
    <d v="2019-02-17T00:00:00"/>
    <x v="2"/>
    <x v="1"/>
  </r>
  <r>
    <n v="14"/>
    <x v="2"/>
    <n v="100"/>
    <n v="99"/>
    <n v="0"/>
    <n v="99"/>
    <d v="2019-02-17T00:00:00"/>
    <x v="2"/>
    <x v="1"/>
  </r>
  <r>
    <n v="14"/>
    <x v="3"/>
    <n v="100"/>
    <n v="99.9"/>
    <n v="0"/>
    <n v="99.9"/>
    <d v="2019-02-17T00:00:00"/>
    <x v="2"/>
    <x v="1"/>
  </r>
  <r>
    <n v="14"/>
    <x v="4"/>
    <n v="100"/>
    <n v="98.42"/>
    <n v="0"/>
    <n v="98.42"/>
    <d v="2019-02-17T00:00:00"/>
    <x v="2"/>
    <x v="1"/>
  </r>
  <r>
    <n v="13"/>
    <x v="7"/>
    <n v="100"/>
    <n v="166"/>
    <n v="2.34"/>
    <n v="163.66"/>
    <d v="2019-03-15T00:00:00"/>
    <x v="3"/>
    <x v="0"/>
  </r>
  <r>
    <n v="14"/>
    <x v="1"/>
    <n v="100"/>
    <n v="37.44"/>
    <n v="0"/>
    <n v="37.44"/>
    <d v="2019-03-17T00:00:00"/>
    <x v="3"/>
    <x v="1"/>
  </r>
  <r>
    <n v="14"/>
    <x v="2"/>
    <n v="100"/>
    <n v="52.02"/>
    <n v="0"/>
    <n v="52.02"/>
    <d v="2019-03-17T00:00:00"/>
    <x v="3"/>
    <x v="1"/>
  </r>
  <r>
    <n v="14"/>
    <x v="3"/>
    <n v="100"/>
    <n v="42.14"/>
    <n v="0"/>
    <n v="42.14"/>
    <d v="2019-03-17T00:00:00"/>
    <x v="3"/>
    <x v="1"/>
  </r>
  <r>
    <n v="14"/>
    <x v="4"/>
    <n v="100"/>
    <n v="177.12"/>
    <n v="0"/>
    <n v="177.12"/>
    <d v="2019-03-17T00:00:00"/>
    <x v="3"/>
    <x v="1"/>
  </r>
  <r>
    <n v="13"/>
    <x v="0"/>
    <n v="100"/>
    <n v="162.75"/>
    <n v="0"/>
    <n v="162.75"/>
    <d v="2019-04-15T00:00:00"/>
    <x v="4"/>
    <x v="0"/>
  </r>
  <r>
    <n v="14"/>
    <x v="1"/>
    <n v="100"/>
    <n v="61"/>
    <n v="0"/>
    <n v="61"/>
    <d v="2019-04-17T00:00:00"/>
    <x v="4"/>
    <x v="1"/>
  </r>
  <r>
    <n v="14"/>
    <x v="2"/>
    <n v="100"/>
    <n v="180.6"/>
    <n v="0"/>
    <n v="180.6"/>
    <d v="2019-04-17T00:00:00"/>
    <x v="4"/>
    <x v="1"/>
  </r>
  <r>
    <n v="14"/>
    <x v="3"/>
    <n v="100"/>
    <n v="38.4"/>
    <n v="0"/>
    <n v="38.4"/>
    <d v="2019-04-17T00:00:00"/>
    <x v="4"/>
    <x v="1"/>
  </r>
  <r>
    <n v="14"/>
    <x v="4"/>
    <n v="100"/>
    <n v="153.18"/>
    <n v="0"/>
    <n v="153.18"/>
    <d v="2019-04-17T00:00:00"/>
    <x v="4"/>
    <x v="1"/>
  </r>
  <r>
    <n v="13"/>
    <x v="8"/>
    <n v="100"/>
    <n v="156.13999999999999"/>
    <n v="0"/>
    <n v="156.13999999999999"/>
    <d v="2019-05-15T00:00:00"/>
    <x v="5"/>
    <x v="0"/>
  </r>
  <r>
    <n v="14"/>
    <x v="1"/>
    <n v="100"/>
    <n v="61"/>
    <n v="0"/>
    <n v="61"/>
    <d v="2019-05-17T00:00:00"/>
    <x v="5"/>
    <x v="1"/>
  </r>
  <r>
    <n v="14"/>
    <x v="2"/>
    <n v="100"/>
    <n v="99"/>
    <n v="0"/>
    <n v="99"/>
    <d v="2019-05-17T00:00:00"/>
    <x v="5"/>
    <x v="1"/>
  </r>
  <r>
    <n v="14"/>
    <x v="3"/>
    <n v="100"/>
    <n v="99.9"/>
    <n v="0"/>
    <n v="99.9"/>
    <d v="2019-05-17T00:00:00"/>
    <x v="5"/>
    <x v="1"/>
  </r>
  <r>
    <n v="14"/>
    <x v="4"/>
    <n v="100"/>
    <n v="98.42"/>
    <n v="0"/>
    <n v="98.42"/>
    <d v="2019-05-17T00:00:00"/>
    <x v="5"/>
    <x v="1"/>
  </r>
  <r>
    <n v="13"/>
    <x v="0"/>
    <n v="100"/>
    <n v="166"/>
    <n v="0"/>
    <n v="166"/>
    <d v="2019-06-15T00:00:00"/>
    <x v="6"/>
    <x v="0"/>
  </r>
  <r>
    <n v="14"/>
    <x v="1"/>
    <n v="100"/>
    <n v="37.44"/>
    <n v="0"/>
    <n v="37.44"/>
    <d v="2019-06-17T00:00:00"/>
    <x v="6"/>
    <x v="1"/>
  </r>
  <r>
    <n v="14"/>
    <x v="2"/>
    <n v="100"/>
    <n v="52.02"/>
    <n v="0"/>
    <n v="52.02"/>
    <d v="2019-06-17T00:00:00"/>
    <x v="6"/>
    <x v="1"/>
  </r>
  <r>
    <n v="14"/>
    <x v="3"/>
    <n v="100"/>
    <n v="42.14"/>
    <n v="0"/>
    <n v="42.14"/>
    <d v="2019-06-17T00:00:00"/>
    <x v="6"/>
    <x v="1"/>
  </r>
  <r>
    <n v="14"/>
    <x v="4"/>
    <n v="100"/>
    <n v="177.12"/>
    <n v="0"/>
    <n v="177.12"/>
    <d v="2019-06-17T00:00:00"/>
    <x v="6"/>
    <x v="1"/>
  </r>
  <r>
    <n v="13"/>
    <x v="5"/>
    <n v="100"/>
    <n v="162.75"/>
    <n v="0"/>
    <n v="162.75"/>
    <d v="2019-07-15T00:00:00"/>
    <x v="7"/>
    <x v="0"/>
  </r>
  <r>
    <n v="14"/>
    <x v="1"/>
    <n v="100"/>
    <n v="61"/>
    <n v="0"/>
    <n v="61"/>
    <d v="2019-07-17T00:00:00"/>
    <x v="7"/>
    <x v="1"/>
  </r>
  <r>
    <n v="14"/>
    <x v="2"/>
    <n v="100"/>
    <n v="180.6"/>
    <n v="0"/>
    <n v="180.6"/>
    <d v="2019-07-17T00:00:00"/>
    <x v="7"/>
    <x v="1"/>
  </r>
  <r>
    <n v="14"/>
    <x v="3"/>
    <n v="100"/>
    <n v="38.4"/>
    <n v="0"/>
    <n v="38.4"/>
    <d v="2019-07-17T00:00:00"/>
    <x v="7"/>
    <x v="1"/>
  </r>
  <r>
    <n v="14"/>
    <x v="4"/>
    <n v="100"/>
    <n v="153.18"/>
    <n v="0"/>
    <n v="153.18"/>
    <d v="2019-07-17T00:00:00"/>
    <x v="7"/>
    <x v="1"/>
  </r>
  <r>
    <n v="13"/>
    <x v="7"/>
    <n v="100"/>
    <n v="156.13999999999999"/>
    <n v="0"/>
    <n v="156.13999999999999"/>
    <d v="2019-08-15T00:00:00"/>
    <x v="8"/>
    <x v="0"/>
  </r>
  <r>
    <n v="14"/>
    <x v="1"/>
    <n v="100"/>
    <n v="61"/>
    <n v="1.03"/>
    <n v="59.97"/>
    <d v="2019-08-17T00:00:00"/>
    <x v="8"/>
    <x v="1"/>
  </r>
  <r>
    <n v="14"/>
    <x v="2"/>
    <n v="100"/>
    <n v="99"/>
    <n v="0"/>
    <n v="99"/>
    <d v="2019-08-17T00:00:00"/>
    <x v="8"/>
    <x v="1"/>
  </r>
  <r>
    <n v="14"/>
    <x v="3"/>
    <n v="100"/>
    <n v="99.9"/>
    <n v="0"/>
    <n v="99.9"/>
    <d v="2019-08-17T00:00:00"/>
    <x v="8"/>
    <x v="1"/>
  </r>
  <r>
    <n v="14"/>
    <x v="4"/>
    <n v="100"/>
    <n v="98.42"/>
    <n v="0"/>
    <n v="98.42"/>
    <d v="2019-08-17T00:00:00"/>
    <x v="8"/>
    <x v="1"/>
  </r>
  <r>
    <n v="13"/>
    <x v="9"/>
    <n v="100"/>
    <n v="166"/>
    <n v="0"/>
    <n v="166"/>
    <d v="2019-09-15T00:00:00"/>
    <x v="9"/>
    <x v="0"/>
  </r>
  <r>
    <n v="14"/>
    <x v="1"/>
    <n v="100"/>
    <n v="37.44"/>
    <n v="0"/>
    <n v="37.44"/>
    <d v="2019-09-17T00:00:00"/>
    <x v="9"/>
    <x v="1"/>
  </r>
  <r>
    <n v="14"/>
    <x v="2"/>
    <n v="100"/>
    <n v="52.02"/>
    <n v="0"/>
    <n v="52.02"/>
    <d v="2019-09-17T00:00:00"/>
    <x v="9"/>
    <x v="1"/>
  </r>
  <r>
    <n v="14"/>
    <x v="3"/>
    <n v="100"/>
    <n v="42.14"/>
    <n v="0"/>
    <n v="42.14"/>
    <d v="2019-09-17T00:00:00"/>
    <x v="9"/>
    <x v="1"/>
  </r>
  <r>
    <n v="14"/>
    <x v="4"/>
    <n v="100"/>
    <n v="177.12"/>
    <n v="0"/>
    <n v="177.12"/>
    <d v="2019-09-17T00:00:00"/>
    <x v="9"/>
    <x v="1"/>
  </r>
  <r>
    <n v="13"/>
    <x v="0"/>
    <n v="100"/>
    <n v="162.75"/>
    <n v="0"/>
    <n v="162.75"/>
    <d v="2019-10-15T00:00:00"/>
    <x v="10"/>
    <x v="0"/>
  </r>
  <r>
    <n v="14"/>
    <x v="1"/>
    <n v="100"/>
    <n v="61"/>
    <n v="0"/>
    <n v="61"/>
    <d v="2019-10-17T00:00:00"/>
    <x v="10"/>
    <x v="1"/>
  </r>
  <r>
    <n v="14"/>
    <x v="2"/>
    <n v="100"/>
    <n v="180.6"/>
    <n v="0"/>
    <n v="180.6"/>
    <d v="2019-10-17T00:00:00"/>
    <x v="10"/>
    <x v="1"/>
  </r>
  <r>
    <n v="14"/>
    <x v="3"/>
    <n v="100"/>
    <n v="38.4"/>
    <n v="0"/>
    <n v="38.4"/>
    <d v="2019-10-17T00:00:00"/>
    <x v="10"/>
    <x v="1"/>
  </r>
  <r>
    <n v="14"/>
    <x v="4"/>
    <n v="100"/>
    <n v="153.18"/>
    <n v="0"/>
    <n v="153.18"/>
    <d v="2019-10-17T00:00:00"/>
    <x v="10"/>
    <x v="1"/>
  </r>
  <r>
    <n v="13"/>
    <x v="8"/>
    <n v="100"/>
    <n v="156.13999999999999"/>
    <n v="0"/>
    <n v="156.13999999999999"/>
    <d v="2019-10-15T00:00:00"/>
    <x v="10"/>
    <x v="0"/>
  </r>
  <r>
    <n v="14"/>
    <x v="1"/>
    <n v="100"/>
    <n v="61"/>
    <n v="0"/>
    <n v="61"/>
    <d v="2019-10-17T00:00:00"/>
    <x v="10"/>
    <x v="1"/>
  </r>
  <r>
    <n v="14"/>
    <x v="2"/>
    <n v="100"/>
    <n v="99"/>
    <n v="0"/>
    <n v="99"/>
    <d v="2019-10-17T00:00:00"/>
    <x v="10"/>
    <x v="1"/>
  </r>
  <r>
    <n v="14"/>
    <x v="3"/>
    <n v="100"/>
    <n v="99.9"/>
    <n v="0"/>
    <n v="99.9"/>
    <d v="2019-10-17T00:00:00"/>
    <x v="10"/>
    <x v="1"/>
  </r>
  <r>
    <n v="14"/>
    <x v="4"/>
    <n v="100"/>
    <n v="98.42"/>
    <n v="0"/>
    <n v="98.42"/>
    <d v="2019-10-17T00:00:00"/>
    <x v="10"/>
    <x v="1"/>
  </r>
  <r>
    <n v="13"/>
    <x v="0"/>
    <n v="100"/>
    <n v="166"/>
    <n v="0"/>
    <n v="166"/>
    <d v="2019-10-15T00:00:00"/>
    <x v="10"/>
    <x v="0"/>
  </r>
  <r>
    <n v="14"/>
    <x v="1"/>
    <n v="100"/>
    <n v="37.44"/>
    <n v="0"/>
    <n v="37.44"/>
    <d v="2019-10-17T00:00:00"/>
    <x v="10"/>
    <x v="1"/>
  </r>
  <r>
    <n v="14"/>
    <x v="2"/>
    <n v="100"/>
    <n v="52.02"/>
    <n v="0"/>
    <n v="52.02"/>
    <d v="2019-10-17T00:00:00"/>
    <x v="10"/>
    <x v="1"/>
  </r>
  <r>
    <n v="14"/>
    <x v="3"/>
    <n v="100"/>
    <n v="42.14"/>
    <n v="0"/>
    <n v="42.14"/>
    <d v="2019-10-17T00:00:00"/>
    <x v="10"/>
    <x v="1"/>
  </r>
  <r>
    <n v="14"/>
    <x v="4"/>
    <n v="100"/>
    <n v="177.12"/>
    <n v="0"/>
    <n v="177.12"/>
    <d v="2019-10-17T00:00:00"/>
    <x v="10"/>
    <x v="1"/>
  </r>
  <r>
    <n v="14"/>
    <x v="8"/>
    <n v="100"/>
    <n v="162.75"/>
    <n v="0"/>
    <n v="162.75"/>
    <d v="2020-01-15T00:00:00"/>
    <x v="11"/>
    <x v="0"/>
  </r>
  <r>
    <n v="14"/>
    <x v="1"/>
    <n v="100"/>
    <n v="61"/>
    <n v="0"/>
    <n v="61"/>
    <d v="2020-01-17T00:00:00"/>
    <x v="11"/>
    <x v="1"/>
  </r>
  <r>
    <n v="14"/>
    <x v="2"/>
    <n v="100"/>
    <n v="180.6"/>
    <n v="0"/>
    <n v="180.6"/>
    <d v="2020-01-17T00:00:00"/>
    <x v="11"/>
    <x v="1"/>
  </r>
  <r>
    <n v="14"/>
    <x v="3"/>
    <n v="100"/>
    <n v="38.4"/>
    <n v="0"/>
    <n v="38.4"/>
    <d v="2020-01-17T00:00:00"/>
    <x v="11"/>
    <x v="1"/>
  </r>
  <r>
    <n v="14"/>
    <x v="4"/>
    <n v="100"/>
    <n v="153.18"/>
    <n v="0"/>
    <n v="153.18"/>
    <d v="2020-01-17T00:00:00"/>
    <x v="1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A1D38E-0888-468C-88A6-351A689AE650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18" firstHeaderRow="1" firstDataRow="2" firstDataCol="1"/>
  <pivotFields count="9">
    <pivotField showAll="0"/>
    <pivotField axis="axisRow" showAll="0">
      <items count="11">
        <item x="9"/>
        <item x="7"/>
        <item x="1"/>
        <item x="6"/>
        <item x="2"/>
        <item x="3"/>
        <item x="0"/>
        <item x="4"/>
        <item x="5"/>
        <item x="8"/>
        <item t="default"/>
      </items>
    </pivotField>
    <pivotField showAll="0"/>
    <pivotField numFmtId="165" showAll="0"/>
    <pivotField numFmtId="165" showAll="0"/>
    <pivotField dataField="1" numFmtId="165" showAll="0"/>
    <pivotField numFmtId="14" showAll="0"/>
    <pivotField axis="axisCol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4">
        <item x="0"/>
        <item x="1"/>
        <item x="2"/>
        <item t="default"/>
      </items>
    </pivotField>
  </pivotFields>
  <rowFields count="2">
    <field x="8"/>
    <field x="1"/>
  </rowFields>
  <rowItems count="14">
    <i>
      <x/>
    </i>
    <i r="1">
      <x/>
    </i>
    <i r="1">
      <x v="1"/>
    </i>
    <i r="1">
      <x v="6"/>
    </i>
    <i r="1">
      <x v="8"/>
    </i>
    <i r="1">
      <x v="9"/>
    </i>
    <i>
      <x v="1"/>
    </i>
    <i r="1">
      <x v="2"/>
    </i>
    <i r="1">
      <x v="4"/>
    </i>
    <i r="1">
      <x v="5"/>
    </i>
    <i r="1">
      <x v="7"/>
    </i>
    <i>
      <x v="2"/>
    </i>
    <i r="1">
      <x v="3"/>
    </i>
    <i t="grand">
      <x/>
    </i>
  </rowItems>
  <colFields count="1">
    <field x="7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 of Valor Líquido" fld="5" baseField="1" baseItem="4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06D0D1-9ACB-4E8F-9FE1-EC7A26F97E2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16" firstHeaderRow="1" firstDataRow="2" firstDataCol="1"/>
  <pivotFields count="10">
    <pivotField numFmtId="14" showAll="0"/>
    <pivotField axis="axisRow" showAll="0">
      <items count="10">
        <item x="1"/>
        <item x="5"/>
        <item x="6"/>
        <item x="3"/>
        <item x="4"/>
        <item x="0"/>
        <item x="7"/>
        <item x="2"/>
        <item x="8"/>
        <item t="default"/>
      </items>
    </pivotField>
    <pivotField showAll="0"/>
    <pivotField numFmtId="44" showAll="0"/>
    <pivotField numFmtId="44" showAll="0"/>
    <pivotField dataField="1" numFmtId="44" showAll="0"/>
    <pivotField axis="axisRow" showAll="0">
      <items count="3">
        <item x="0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13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t="default"/>
      </items>
    </pivotField>
    <pivotField axis="axisCol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6"/>
    <field x="1"/>
  </rowFields>
  <rowItems count="12">
    <i>
      <x/>
    </i>
    <i r="1">
      <x/>
    </i>
    <i r="1">
      <x v="1"/>
    </i>
    <i r="1">
      <x v="5"/>
    </i>
    <i r="1">
      <x v="7"/>
    </i>
    <i r="1">
      <x v="8"/>
    </i>
    <i>
      <x v="1"/>
    </i>
    <i r="1">
      <x v="2"/>
    </i>
    <i r="1">
      <x v="3"/>
    </i>
    <i r="1">
      <x v="4"/>
    </i>
    <i r="1">
      <x v="6"/>
    </i>
    <i t="grand">
      <x/>
    </i>
  </rowItems>
  <colFields count="1">
    <field x="9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colItems>
  <dataFields count="1">
    <dataField name="Sum of Total" fld="5" baseField="1" baseItem="7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552EB68-3053-49D2-B6B1-5509113C0A6E}" autoFormatId="16" applyNumberFormats="0" applyBorderFormats="0" applyFontFormats="0" applyPatternFormats="0" applyAlignmentFormats="0" applyWidthHeightFormats="0">
  <queryTableRefresh nextId="4">
    <queryTableFields count="3">
      <queryTableField id="1" name="ATIVO" tableColumnId="1"/>
      <queryTableField id="2" name="TIPO" tableColumnId="2"/>
      <queryTableField id="3" name="COTAÇÃO" tableColumnId="3"/>
    </queryTableFields>
  </queryTableRefresh>
</queryTable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19D6DFD-B96A-479D-BEE5-0B6D29235303}" name="TbCarteira" displayName="TbCarteira" ref="A1:I11" totalsRowCount="1">
  <autoFilter ref="A1:I10" xr:uid="{919D6DFD-B96A-479D-BEE5-0B6D29235303}"/>
  <tableColumns count="9">
    <tableColumn id="1" xr3:uid="{C84D0FDD-A341-4D9D-9C5C-D7AC2DFD9F66}" name="Ativo" totalsRowLabel="Total"/>
    <tableColumn id="2" xr3:uid="{AD1880EA-CB08-4EC6-B7B2-91A5A57D7BE9}" name="Tipo" dataDxfId="74">
      <calculatedColumnFormula>VLOOKUP(TbCarteira[[#This Row],[Ativo]],TbAtivos[],2,FALSE)</calculatedColumnFormula>
    </tableColumn>
    <tableColumn id="3" xr3:uid="{92772E30-6E83-4367-873F-D0C8652452BA}" name="Cotação" dataDxfId="73">
      <calculatedColumnFormula>VLOOKUP(TbCarteira[[#This Row],[Ativo]],TbAtivos[],3,FALSE)</calculatedColumnFormula>
    </tableColumn>
    <tableColumn id="4" xr3:uid="{417D4E28-E8E1-4494-AA4C-6AA04D7193BE}" name="Total Aportado" totalsRowFunction="sum" dataDxfId="72">
      <calculatedColumnFormula>SUMIFS(TbAportes[Total],TbAportes[Ativo],TbCarteira[[#This Row],[Ativo]],TbAportes[Data],"&lt;="&amp;IF($L$1="",TODAY(),$L$1))</calculatedColumnFormula>
    </tableColumn>
    <tableColumn id="5" xr3:uid="{9F717DD0-2CBE-46CF-960A-C9802407344F}" name="Total Qte" dataDxfId="71">
      <calculatedColumnFormula>SUMIFS(TbAportes[Qte],TbAportes[Ativo],TbCarteira[[#This Row],[Ativo]],TbAportes[Data],"&lt;="&amp;IF($L$1="",TODAY(),$L$1))</calculatedColumnFormula>
    </tableColumn>
    <tableColumn id="6" xr3:uid="{5E7C255D-04AE-4700-BD29-50975F9A5AD2}" name="PM" dataDxfId="70">
      <calculatedColumnFormula>TbCarteira[[#This Row],[Total Aportado]]/E2</calculatedColumnFormula>
    </tableColumn>
    <tableColumn id="7" xr3:uid="{9FF0EA07-21DA-41B5-BC59-458300FE6836}" name="Total Atual" totalsRowFunction="sum" dataDxfId="69" totalsRowDxfId="68">
      <calculatedColumnFormula>TbCarteira[[#This Row],[Cotação]]*TbCarteira[[#This Row],[Total Qte]]</calculatedColumnFormula>
    </tableColumn>
    <tableColumn id="8" xr3:uid="{3A77DA3D-85ED-4D8E-951D-A600E6ABF99A}" name="Valorização" totalsRowFunction="sum" dataDxfId="67" totalsRowDxfId="66">
      <calculatedColumnFormula>TbCarteira[[#This Row],[Total Atual]]-TbCarteira[[#This Row],[Total Aportado]]</calculatedColumnFormula>
    </tableColumn>
    <tableColumn id="9" xr3:uid="{966AD383-870B-4635-AA0E-761A6BEFE9A5}" name="Valorização %" dataDxfId="65" totalsRowDxfId="64" dataCellStyle="Percent">
      <calculatedColumnFormula>(TbCarteira[[#This Row],[Total Atual]]/TbCarteira[[#This Row],[Total Aportado]])-1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046C2AD-CB03-4768-A162-D20F70785570}" name="TbCarteiraAções" displayName="TbCarteiraAções" ref="A1:I7" totalsRowCount="1">
  <autoFilter ref="A1:I6" xr:uid="{919D6DFD-B96A-479D-BEE5-0B6D29235303}"/>
  <tableColumns count="9">
    <tableColumn id="1" xr3:uid="{5A216491-3A57-4989-A34C-437F17ECAEE1}" name="Ativo" totalsRowLabel="Total"/>
    <tableColumn id="2" xr3:uid="{3E990310-FC6F-4FC5-A702-6AEE907EB391}" name="Tipo" dataDxfId="63">
      <calculatedColumnFormula>VLOOKUP(TbCarteiraAções[[#This Row],[Ativo]],TbAtivos[],2,FALSE)</calculatedColumnFormula>
    </tableColumn>
    <tableColumn id="3" xr3:uid="{4A820AC1-0C08-4CCD-BE5D-B9F8EE44C342}" name="Cotação" dataDxfId="62">
      <calculatedColumnFormula>VLOOKUP(TbCarteiraAções[[#This Row],[Ativo]],TbAtivos[],3,FALSE)</calculatedColumnFormula>
    </tableColumn>
    <tableColumn id="4" xr3:uid="{B4236E07-14E0-4CB0-85BE-C23BD3A9F9D4}" name="Total Aportado" totalsRowFunction="sum" dataDxfId="61">
      <calculatedColumnFormula>SUMIFS(TbAportes[Total],TbAportes[Ativo],TbCarteiraAções[[#This Row],[Ativo]],TbAportes[Data],"&lt;="&amp;IF($L$1="",TODAY(),$L$1))</calculatedColumnFormula>
    </tableColumn>
    <tableColumn id="5" xr3:uid="{48F1FD35-A0C7-4373-B240-AAE46AAD3F93}" name="Total Qte" dataDxfId="60">
      <calculatedColumnFormula>SUMIFS(TbAportes[Qte],TbAportes[Ativo],TbCarteiraAções[[#This Row],[Ativo]],TbAportes[Data],"&lt;="&amp;IF($L$1="",TODAY(),$L$1))</calculatedColumnFormula>
    </tableColumn>
    <tableColumn id="6" xr3:uid="{E12D0686-26ED-41A2-8D3E-433C6A472C17}" name="PM" dataDxfId="59">
      <calculatedColumnFormula>TbCarteiraAções[[#This Row],[Total Aportado]]/E2</calculatedColumnFormula>
    </tableColumn>
    <tableColumn id="7" xr3:uid="{3D8B5A44-0560-4205-9CB1-7903A0F82D2F}" name="Total Atual" totalsRowFunction="sum" dataDxfId="58" totalsRowDxfId="57">
      <calculatedColumnFormula>TbCarteiraAções[[#This Row],[Cotação]]*TbCarteiraAções[[#This Row],[Total Qte]]</calculatedColumnFormula>
    </tableColumn>
    <tableColumn id="8" xr3:uid="{19380A25-FFF5-4B51-9306-C9514416638A}" name="Valorização" totalsRowFunction="sum" dataDxfId="56" totalsRowDxfId="55">
      <calculatedColumnFormula>TbCarteiraAções[[#This Row],[Total Atual]]-TbCarteiraAções[[#This Row],[Total Aportado]]</calculatedColumnFormula>
    </tableColumn>
    <tableColumn id="9" xr3:uid="{E142126C-8216-4BA8-8E99-75E39F8008A5}" name="Valorização %" dataDxfId="54" totalsRowDxfId="53" dataCellStyle="Percent">
      <calculatedColumnFormula>(TbCarteiraAções[[#This Row],[Total Atual]]/TbCarteiraAções[[#This Row],[Total Aportado]])-1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D31042C-A7D4-4112-B215-B3C5CCB1F5B9}" name="TbCarteiraFII" displayName="TbCarteiraFII" ref="A1:I6" totalsRowCount="1">
  <autoFilter ref="A1:I5" xr:uid="{919D6DFD-B96A-479D-BEE5-0B6D29235303}"/>
  <tableColumns count="9">
    <tableColumn id="1" xr3:uid="{C633ED16-3EE7-418B-95C4-43368BFAB5AE}" name="Ativo" totalsRowLabel="Total"/>
    <tableColumn id="2" xr3:uid="{007BC2CB-E36F-441B-A425-6F13A364BF79}" name="Tipo" dataDxfId="52">
      <calculatedColumnFormula>VLOOKUP(TbCarteiraFII[[#This Row],[Ativo]],TbAtivos[],2,FALSE)</calculatedColumnFormula>
    </tableColumn>
    <tableColumn id="3" xr3:uid="{52CFD559-4D76-40EF-B9DE-10F4B8EAC488}" name="Cotação" dataDxfId="51">
      <calculatedColumnFormula>VLOOKUP(TbCarteiraFII[[#This Row],[Ativo]],TbAtivos[],3,FALSE)</calculatedColumnFormula>
    </tableColumn>
    <tableColumn id="4" xr3:uid="{82F9E228-0140-4279-8E0E-E377B7017BEA}" name="Total Aportado" totalsRowFunction="sum" dataDxfId="50" totalsRowDxfId="49">
      <calculatedColumnFormula>SUMIFS(TbAportes[Total],TbAportes[Ativo],TbCarteiraFII[[#This Row],[Ativo]],TbAportes[Data],"&lt;="&amp;IF($L$1="",TODAY(),$L$1))</calculatedColumnFormula>
    </tableColumn>
    <tableColumn id="5" xr3:uid="{BDC7F384-A5F5-4AF8-810B-B88759D547BD}" name="Total Qte" dataDxfId="48">
      <calculatedColumnFormula>SUMIFS(TbAportes[Qte],TbAportes[Ativo],TbCarteiraFII[[#This Row],[Ativo]],TbAportes[Data],"&lt;="&amp;IF($L$1="",TODAY(),$L$1))</calculatedColumnFormula>
    </tableColumn>
    <tableColumn id="6" xr3:uid="{DBBF725E-9C01-4612-81D2-47CC81BB5951}" name="PM" dataDxfId="47">
      <calculatedColumnFormula>TbCarteiraFII[[#This Row],[Total Aportado]]/E2</calculatedColumnFormula>
    </tableColumn>
    <tableColumn id="7" xr3:uid="{ECCA034D-5098-41CD-B310-D135D567CF51}" name="Total Atual" totalsRowFunction="sum" dataDxfId="46" totalsRowDxfId="45">
      <calculatedColumnFormula>TbCarteiraFII[[#This Row],[Cotação]]*TbCarteiraFII[[#This Row],[Total Qte]]</calculatedColumnFormula>
    </tableColumn>
    <tableColumn id="8" xr3:uid="{AEFBD4CA-F748-4B36-868F-61F92B4AC0AE}" name="Valorização" totalsRowFunction="sum" dataDxfId="44" totalsRowDxfId="43">
      <calculatedColumnFormula>TbCarteiraFII[[#This Row],[Total Atual]]-TbCarteiraFII[[#This Row],[Total Aportado]]</calculatedColumnFormula>
    </tableColumn>
    <tableColumn id="9" xr3:uid="{E43108AC-45D2-4F61-83C9-3A7BDFCACE9E}" name="Valorização %" dataDxfId="42" totalsRowDxfId="41" dataCellStyle="Percent">
      <calculatedColumnFormula>(TbCarteiraFII[[#This Row],[Total Atual]]/TbCarteiraFII[[#This Row],[Total Aportado]])-1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267408A-A9AA-4341-A761-B0FE856068A0}" name="TbAportes" displayName="TbAportes" ref="A1:J29" totalsRowShown="0" headerRowDxfId="40" dataDxfId="39">
  <autoFilter ref="A1:J29" xr:uid="{5267408A-A9AA-4341-A761-B0FE856068A0}"/>
  <tableColumns count="10">
    <tableColumn id="1" xr3:uid="{099ACA6E-2175-4B28-AA7C-2F032F68E23A}" name="Data" dataDxfId="38"/>
    <tableColumn id="2" xr3:uid="{E33B4785-86CF-467C-A889-61A06E3C55B7}" name="Ativo" dataDxfId="37"/>
    <tableColumn id="3" xr3:uid="{95D1342C-FCD2-4FD5-B9DA-6EA468A5FABD}" name="Qte" dataDxfId="36"/>
    <tableColumn id="4" xr3:uid="{35F6B955-C8BD-4D23-9DBB-804D4C2599C0}" name="Valor unitário" dataDxfId="35"/>
    <tableColumn id="5" xr3:uid="{E05A3316-90E7-4ACF-A43B-38172E73CAD7}" name="Custo" dataDxfId="34"/>
    <tableColumn id="6" xr3:uid="{8562B5D5-F997-4C0B-96E3-5B1A3A07ADB7}" name="Total" dataDxfId="33">
      <calculatedColumnFormula>TbAportes[[#This Row],[Qte]]*TbAportes[[#This Row],[Valor unitário]]+TbAportes[[#This Row],[Custo]]</calculatedColumnFormula>
    </tableColumn>
    <tableColumn id="7" xr3:uid="{974F1168-3DB3-45C7-9668-6EA60A1B7ABB}" name="Tipo" dataDxfId="32">
      <calculatedColumnFormula>VLOOKUP(TbAportes[[#This Row],[Ativo]],TbAtivos[],2,FALSE)</calculatedColumnFormula>
    </tableColumn>
    <tableColumn id="8" xr3:uid="{6DAEF0C5-3F7D-4F45-A243-964594526081}" name="Ano" dataDxfId="31">
      <calculatedColumnFormula>YEAR(TbAportes[[#This Row],[Data]])</calculatedColumnFormula>
    </tableColumn>
    <tableColumn id="9" xr3:uid="{DC9BD4B3-CE73-47D9-926F-A73F59BAA533}" name="Mês" dataDxfId="30">
      <calculatedColumnFormula>MONTH(TbAportes[[#This Row],[Data]])</calculatedColumnFormula>
    </tableColumn>
    <tableColumn id="10" xr3:uid="{C6D29F59-CCEE-44FF-BACD-1A881506817E}" name="Ano/Mês" dataDxfId="29">
      <calculatedColumnFormula>_xlfn.CONCAT(TbAportes[[#This Row],[Ano]],"/",IF(TbAportes[[#This Row],[Mês]]&lt;10,_xlfn.CONCAT(0,TbAportes[[#This Row],[Mês]]),TbAportes[[#This Row],[Mês]]))</calculatedColumnFormula>
    </tableColumn>
  </tableColumns>
  <tableStyleInfo name="TableStyleLight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4CAC1E2-3360-425E-8462-6B3BA17DFAE8}" name="TbProventos" displayName="TbProventos" ref="A1:I72" totalsRowShown="0" headerRowDxfId="28" dataDxfId="27">
  <autoFilter ref="A1:I72" xr:uid="{F4CAC1E2-3360-425E-8462-6B3BA17DFAE8}"/>
  <tableColumns count="9">
    <tableColumn id="1" xr3:uid="{F1FA85DB-CA3C-4DEA-B113-15A180D96B03}" name="Cod" dataDxfId="26"/>
    <tableColumn id="2" xr3:uid="{ACDE8095-56DE-4667-BEE8-B4A9FD6A5165}" name="Ativo" dataDxfId="25"/>
    <tableColumn id="3" xr3:uid="{FD19284D-62A6-4D95-8B03-6781E8872593}" name="Qte" dataDxfId="24"/>
    <tableColumn id="4" xr3:uid="{A4F9BEE1-A662-41DB-8493-1C1E187FC0A6}" name="Valor Bruto" dataDxfId="23"/>
    <tableColumn id="5" xr3:uid="{9DEC39AC-7D93-4731-914F-B76F232BB6C1}" name="IR" dataDxfId="22"/>
    <tableColumn id="6" xr3:uid="{DCC5FC3D-9187-4B9B-B390-677411C6213D}" name="Valor Líquido" dataDxfId="21"/>
    <tableColumn id="7" xr3:uid="{69D593DF-E1D1-47AD-8CBB-CA14CB434CC9}" name="Data" dataDxfId="20"/>
    <tableColumn id="8" xr3:uid="{5065C0D3-6FC7-4AF9-989B-EF407B006EFC}" name="Ano/Mês" dataDxfId="19">
      <calculatedColumnFormula>_xlfn.CONCAT(YEAR(TbProventos[[#This Row],[Data]]),"/",IF(MONTH(TbProventos[[#This Row],[Data]])&lt;10,_xlfn.CONCAT(0,MONTH(TbProventos[[#This Row],[Data]])),MONTH(TbProventos[[#This Row],[Data]])))</calculatedColumnFormula>
    </tableColumn>
    <tableColumn id="9" xr3:uid="{E0A55F15-64CB-42AD-B37A-216785C55337}" name="Tipo" dataDxfId="18">
      <calculatedColumnFormula>VLOOKUP(TbProventos[[#This Row],[Ativo]],TbAtivos[],2,FALSE)</calculatedColumnFormula>
    </tableColumn>
  </tableColumns>
  <tableStyleInfo name="TableStyleLight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CED1E6-0BAA-4C09-B92E-0C3445D29D37}" name="TbAtivos" displayName="TbAtivos" ref="A1:C10" tableType="queryTable" totalsRowShown="0">
  <autoFilter ref="A1:C10" xr:uid="{CACED1E6-0BAA-4C09-B92E-0C3445D29D37}"/>
  <tableColumns count="3">
    <tableColumn id="1" xr3:uid="{8BE1FC45-EA71-4E8C-BCE3-20AD92C286E1}" uniqueName="1" name="ATIVO" queryTableFieldId="1" dataDxfId="17"/>
    <tableColumn id="2" xr3:uid="{322276D4-735C-493D-B796-61AA254CC83D}" uniqueName="2" name="TIPO" queryTableFieldId="2" dataDxfId="16"/>
    <tableColumn id="3" xr3:uid="{3EDA65E8-9841-4A55-B023-FEFFBE818F9D}" uniqueName="3" name="COTAÇÃO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" dT="2024-03-11T20:04:35.41" personId="{27ABD631-9619-4162-AB4B-6E46B282E6F4}" id="{76FBC7E7-5F6A-41E3-A392-39346DE199EB}">
    <text>Deixe em branco para a data de hoje.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L1" dT="2024-03-11T20:04:35.41" personId="{27ABD631-9619-4162-AB4B-6E46B282E6F4}" id="{CF485D93-E347-475E-8EE6-58A9880BA1D7}">
    <text>Deixe em branco para a data de hoje.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L1" dT="2024-03-11T20:04:35.41" personId="{27ABD631-9619-4162-AB4B-6E46B282E6F4}" id="{4A6F8507-571C-4B7D-8B9F-915C96E4945E}">
    <text>Deixe em branco para a data de hoje.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3.vml"/><Relationship Id="rId4" Type="http://schemas.microsoft.com/office/2017/10/relationships/threadedComment" Target="../threadedComments/threadedComment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4.vml"/><Relationship Id="rId4" Type="http://schemas.microsoft.com/office/2017/10/relationships/threadedComment" Target="../threadedComments/threadedComment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79A60-A55C-47D5-9AE8-D62210960E9E}">
  <dimension ref="A1:H14"/>
  <sheetViews>
    <sheetView showGridLines="0" tabSelected="1" workbookViewId="0">
      <selection activeCell="E1" sqref="E1"/>
    </sheetView>
  </sheetViews>
  <sheetFormatPr defaultRowHeight="15" x14ac:dyDescent="0.25"/>
  <cols>
    <col min="1" max="1" width="3.42578125" customWidth="1"/>
    <col min="2" max="2" width="38.85546875" customWidth="1"/>
    <col min="3" max="3" width="3" customWidth="1"/>
    <col min="4" max="4" width="18.85546875" customWidth="1"/>
    <col min="5" max="5" width="28.42578125" customWidth="1"/>
    <col min="6" max="6" width="37.85546875" customWidth="1"/>
    <col min="7" max="7" width="22.85546875" customWidth="1"/>
    <col min="8" max="8" width="31.7109375" customWidth="1"/>
  </cols>
  <sheetData>
    <row r="1" spans="1:8" ht="24.75" customHeight="1" x14ac:dyDescent="0.25">
      <c r="A1" s="16"/>
      <c r="B1" s="16"/>
      <c r="C1" s="16"/>
      <c r="D1" s="21" t="s">
        <v>60</v>
      </c>
      <c r="E1" s="37">
        <v>20000</v>
      </c>
      <c r="F1" s="16"/>
      <c r="G1" s="22" t="s">
        <v>59</v>
      </c>
      <c r="H1" s="19">
        <f ca="1">IF(ReCarteira!L1="",TODAY(),ReCarteira!L1)</f>
        <v>43830</v>
      </c>
    </row>
    <row r="2" spans="1:8" s="18" customFormat="1" x14ac:dyDescent="0.25"/>
    <row r="4" spans="1:8" ht="15.75" x14ac:dyDescent="0.25">
      <c r="B4" s="20" t="s">
        <v>58</v>
      </c>
    </row>
    <row r="5" spans="1:8" ht="42.75" customHeight="1" x14ac:dyDescent="0.25">
      <c r="B5" s="23">
        <f ca="1">DashboardAux!C14</f>
        <v>8200.14</v>
      </c>
    </row>
    <row r="7" spans="1:8" ht="15.75" x14ac:dyDescent="0.25">
      <c r="B7" s="20" t="s">
        <v>50</v>
      </c>
    </row>
    <row r="8" spans="1:8" ht="42.75" customHeight="1" x14ac:dyDescent="0.25">
      <c r="B8" s="23">
        <f ca="1">DashboardAux!C13</f>
        <v>7113.2300000000005</v>
      </c>
    </row>
    <row r="10" spans="1:8" ht="15.75" x14ac:dyDescent="0.25">
      <c r="B10" s="20" t="s">
        <v>52</v>
      </c>
    </row>
    <row r="11" spans="1:8" ht="42.75" customHeight="1" x14ac:dyDescent="0.25">
      <c r="B11" s="23">
        <f ca="1">DashboardAux!C15</f>
        <v>1086.9100000000001</v>
      </c>
    </row>
    <row r="13" spans="1:8" ht="15.75" x14ac:dyDescent="0.25">
      <c r="B13" s="20" t="s">
        <v>53</v>
      </c>
    </row>
    <row r="14" spans="1:8" ht="42.75" customHeight="1" x14ac:dyDescent="0.25">
      <c r="B14" s="32">
        <f ca="1">DashboardAux!C16</f>
        <v>0.15280118877078319</v>
      </c>
    </row>
  </sheetData>
  <sheetProtection sheet="1" objects="1" scenarios="1" selectLockedCells="1"/>
  <conditionalFormatting sqref="B11 B14">
    <cfRule type="cellIs" dxfId="15" priority="1" operator="lessThan">
      <formula>0</formula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3" name="Drop Down 1">
              <controlPr defaultSize="0" autoLine="0" autoPict="0">
                <anchor moveWithCells="1">
                  <from>
                    <xdr:col>1</xdr:col>
                    <xdr:colOff>0</xdr:colOff>
                    <xdr:row>0</xdr:row>
                    <xdr:rowOff>0</xdr:rowOff>
                  </from>
                  <to>
                    <xdr:col>2</xdr:col>
                    <xdr:colOff>19050</xdr:colOff>
                    <xdr:row>0</xdr:row>
                    <xdr:rowOff>304800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DDB5F-A2A1-496F-8486-10FD4561965E}">
  <dimension ref="B2:AE27"/>
  <sheetViews>
    <sheetView topLeftCell="J6" workbookViewId="0">
      <selection activeCell="O17" sqref="O17:P26"/>
    </sheetView>
  </sheetViews>
  <sheetFormatPr defaultRowHeight="15" x14ac:dyDescent="0.25"/>
  <cols>
    <col min="1" max="1" width="3.85546875" customWidth="1"/>
    <col min="2" max="2" width="20.5703125" customWidth="1"/>
    <col min="3" max="3" width="23.7109375" customWidth="1"/>
    <col min="6" max="6" width="17.140625" customWidth="1"/>
    <col min="7" max="7" width="15.7109375" customWidth="1"/>
    <col min="8" max="8" width="16" customWidth="1"/>
    <col min="9" max="9" width="15.42578125" customWidth="1"/>
    <col min="11" max="11" width="14.140625" customWidth="1"/>
    <col min="12" max="12" width="19.7109375" customWidth="1"/>
    <col min="16" max="16" width="13.7109375" bestFit="1" customWidth="1"/>
    <col min="20" max="20" width="15.140625" customWidth="1"/>
    <col min="25" max="25" width="14" customWidth="1"/>
    <col min="30" max="30" width="13.7109375" bestFit="1" customWidth="1"/>
  </cols>
  <sheetData>
    <row r="2" spans="2:31" x14ac:dyDescent="0.25">
      <c r="B2" s="34" t="s">
        <v>61</v>
      </c>
      <c r="C2" s="34"/>
      <c r="E2" s="34" t="s">
        <v>68</v>
      </c>
      <c r="F2" s="34"/>
      <c r="G2" s="34"/>
      <c r="H2" s="34"/>
      <c r="I2" s="34"/>
      <c r="K2" s="34" t="s">
        <v>71</v>
      </c>
      <c r="L2" s="34"/>
      <c r="N2" s="34" t="s">
        <v>73</v>
      </c>
      <c r="O2" s="34"/>
      <c r="P2" s="34"/>
      <c r="R2" s="34" t="s">
        <v>76</v>
      </c>
      <c r="S2" s="34"/>
      <c r="T2" s="34"/>
      <c r="U2" s="34"/>
      <c r="W2" s="34" t="s">
        <v>78</v>
      </c>
      <c r="X2" s="34"/>
      <c r="Y2" s="34"/>
      <c r="Z2" s="34"/>
      <c r="AB2" s="34" t="s">
        <v>79</v>
      </c>
      <c r="AC2" s="34"/>
      <c r="AD2" s="34"/>
      <c r="AE2" s="34"/>
    </row>
    <row r="3" spans="2:31" x14ac:dyDescent="0.25">
      <c r="B3" s="26"/>
      <c r="C3" s="26"/>
      <c r="E3" s="27"/>
      <c r="F3" s="27"/>
      <c r="G3" s="27">
        <v>1</v>
      </c>
      <c r="H3" s="27">
        <v>2</v>
      </c>
      <c r="I3" s="27">
        <v>3</v>
      </c>
      <c r="K3" s="27" t="s">
        <v>63</v>
      </c>
      <c r="L3" s="28">
        <f ca="1">H6</f>
        <v>27979</v>
      </c>
      <c r="N3" s="27" t="s">
        <v>75</v>
      </c>
      <c r="O3" s="27" t="s">
        <v>15</v>
      </c>
      <c r="P3" s="27" t="s">
        <v>74</v>
      </c>
      <c r="R3" s="27" t="s">
        <v>75</v>
      </c>
      <c r="S3" s="27" t="s">
        <v>15</v>
      </c>
      <c r="T3" s="27" t="s">
        <v>74</v>
      </c>
      <c r="U3" s="27" t="s">
        <v>77</v>
      </c>
      <c r="W3" s="27" t="s">
        <v>75</v>
      </c>
      <c r="X3" s="27" t="s">
        <v>15</v>
      </c>
      <c r="Y3" s="27" t="s">
        <v>74</v>
      </c>
      <c r="Z3" s="27" t="s">
        <v>77</v>
      </c>
      <c r="AB3" s="27" t="s">
        <v>75</v>
      </c>
      <c r="AC3" s="27" t="s">
        <v>15</v>
      </c>
      <c r="AD3" s="27" t="s">
        <v>74</v>
      </c>
      <c r="AE3" s="27" t="s">
        <v>77</v>
      </c>
    </row>
    <row r="4" spans="2:31" x14ac:dyDescent="0.25">
      <c r="B4" s="27">
        <v>1</v>
      </c>
      <c r="C4" s="24" t="s">
        <v>62</v>
      </c>
      <c r="E4" s="27"/>
      <c r="F4" s="27"/>
      <c r="G4" s="27" t="s">
        <v>69</v>
      </c>
      <c r="H4" s="27" t="s">
        <v>63</v>
      </c>
      <c r="I4" s="27" t="s">
        <v>9</v>
      </c>
      <c r="K4" s="27" t="s">
        <v>9</v>
      </c>
      <c r="L4" s="28">
        <f ca="1">I6</f>
        <v>8200.14</v>
      </c>
      <c r="N4" s="33">
        <v>10</v>
      </c>
      <c r="O4" s="30" t="str">
        <f ca="1">IF($C$9=1,S4,IF($C$9=2,X4,AC4))</f>
        <v>-</v>
      </c>
      <c r="P4" s="30" t="str">
        <f ca="1">IF($C$9=1,T4,IF($C$9=2,Y4,AD4))</f>
        <v>-</v>
      </c>
      <c r="R4" s="33">
        <v>10</v>
      </c>
      <c r="S4" s="30" t="str" cm="1">
        <f t="array" aca="1" ref="S4" ca="1">IF(ISNA(INDEX(TbCarteira[],U4,1)),"-",INDEX(TbCarteira[],U4,1))</f>
        <v>-</v>
      </c>
      <c r="T4" s="30" t="str">
        <f ca="1">IF(ISNUMBER(LARGE(TbCarteira[Total Atual],R4)),LARGE(TbCarteira[Total Atual],R4),"-")</f>
        <v>-</v>
      </c>
      <c r="U4" s="33" t="e">
        <f ca="1">MATCH(T4,TbCarteira[Total Atual],0)</f>
        <v>#N/A</v>
      </c>
      <c r="W4" s="33">
        <v>10</v>
      </c>
      <c r="X4" s="30" t="str" cm="1">
        <f t="array" aca="1" ref="X4" ca="1">IF(ISNA(INDEX(TbCarteiraAções[],Z4,1)),"-",INDEX(TbCarteiraAções[],Z4,1))</f>
        <v>-</v>
      </c>
      <c r="Y4" s="30" t="str">
        <f ca="1">IF(ISNUMBER(LARGE(TbCarteiraAções[Total Atual],W4)),LARGE(TbCarteiraAções[Total Atual],W4),"-")</f>
        <v>-</v>
      </c>
      <c r="Z4" s="33" t="e">
        <f ca="1">MATCH(Y4,TbCarteiraAções[Total Atual],0)</f>
        <v>#N/A</v>
      </c>
      <c r="AB4" s="33">
        <v>10</v>
      </c>
      <c r="AC4" s="30" t="str" cm="1">
        <f t="array" aca="1" ref="AC4" ca="1">IF(ISNA(INDEX(TbCarteiraFII[],AE4,1)),"-",INDEX(TbCarteiraFII[],AE4,1))</f>
        <v>-</v>
      </c>
      <c r="AD4" s="30" t="str">
        <f ca="1">IF(ISNUMBER(LARGE(TbCarteiraFII[Total Atual],AB4)),LARGE(TbCarteiraFII[Total Atual],AB4),"-")</f>
        <v>-</v>
      </c>
      <c r="AE4" s="33" t="e">
        <f ca="1">MATCH(AD4,TbCarteiraFII[Total Atual],0)</f>
        <v>#N/A</v>
      </c>
    </row>
    <row r="5" spans="2:31" x14ac:dyDescent="0.25">
      <c r="B5" s="27">
        <v>2</v>
      </c>
      <c r="C5" s="24" t="s">
        <v>63</v>
      </c>
      <c r="E5" s="27">
        <v>1</v>
      </c>
      <c r="F5" s="27" t="s">
        <v>50</v>
      </c>
      <c r="G5" s="30">
        <f ca="1">SUM(TbCarteira[Total Aportado])</f>
        <v>24711.23</v>
      </c>
      <c r="H5" s="30">
        <f ca="1">SUMIF(TbCarteira[Tipo],"EMPRESA",TbCarteira[Total Aportado])</f>
        <v>17598</v>
      </c>
      <c r="I5" s="30">
        <f ca="1">SUMIF(TbCarteira[Tipo],"FII",TbCarteira[Total Aportado])</f>
        <v>7113.2300000000005</v>
      </c>
      <c r="K5" s="27" t="s">
        <v>72</v>
      </c>
      <c r="L5" s="28">
        <f>C10</f>
        <v>20000</v>
      </c>
      <c r="N5" s="33">
        <v>9</v>
      </c>
      <c r="O5" s="30" t="str">
        <f t="shared" ref="O5:O13" ca="1" si="0">IF($C$9=1,S5,IF($C$9=2,X5,AC5))</f>
        <v>-</v>
      </c>
      <c r="P5" s="30" t="str">
        <f t="shared" ref="P5:P13" ca="1" si="1">IF($C$9=1,T5,IF($C$9=2,Y5,AD5))</f>
        <v>-</v>
      </c>
      <c r="R5" s="33">
        <v>9</v>
      </c>
      <c r="S5" s="30" t="str" cm="1">
        <f t="array" aca="1" ref="S5" ca="1">IF(ISNA(INDEX(TbCarteira[],U5,1)),"-",INDEX(TbCarteira[],U5,1))</f>
        <v>KNRI11</v>
      </c>
      <c r="T5" s="30">
        <f ca="1">IF(ISNUMBER(LARGE(TbCarteira[Total Atual],R5)),LARGE(TbCarteira[Total Atual],R5),0)</f>
        <v>1318</v>
      </c>
      <c r="U5" s="33">
        <f ca="1">MATCH(T5,TbCarteira[Total Atual],0)</f>
        <v>8</v>
      </c>
      <c r="W5" s="33">
        <v>9</v>
      </c>
      <c r="X5" s="30" t="str" cm="1">
        <f t="array" aca="1" ref="X5" ca="1">IF(ISNA(INDEX(TbCarteiraAções[],Z5,1)),"-",INDEX(TbCarteiraAções[],Z5,1))</f>
        <v>-</v>
      </c>
      <c r="Y5" s="30" t="str">
        <f ca="1">IF(ISNUMBER(LARGE(TbCarteiraAções[Total Atual],W5)),LARGE(TbCarteiraAções[Total Atual],W5),"-")</f>
        <v>-</v>
      </c>
      <c r="Z5" s="33" t="e">
        <f ca="1">MATCH(Y5,TbCarteiraAções[Total Atual],0)</f>
        <v>#N/A</v>
      </c>
      <c r="AB5" s="33">
        <v>9</v>
      </c>
      <c r="AC5" s="30" t="str" cm="1">
        <f t="array" aca="1" ref="AC5" ca="1">IF(ISNA(INDEX(TbCarteiraFII[],AE5,1)),"-",INDEX(TbCarteiraFII[],AE5,1))</f>
        <v>-</v>
      </c>
      <c r="AD5" s="30" t="str">
        <f ca="1">IF(ISNUMBER(LARGE(TbCarteiraFII[Total Atual],AB5)),LARGE(TbCarteiraFII[Total Atual],AB5),"-")</f>
        <v>-</v>
      </c>
      <c r="AE5" s="33" t="e">
        <f ca="1">MATCH(AD5,TbCarteiraFII[Total Atual],0)</f>
        <v>#N/A</v>
      </c>
    </row>
    <row r="6" spans="2:31" x14ac:dyDescent="0.25">
      <c r="B6" s="27">
        <v>3</v>
      </c>
      <c r="C6" s="24" t="s">
        <v>64</v>
      </c>
      <c r="E6" s="27">
        <v>2</v>
      </c>
      <c r="F6" s="27" t="s">
        <v>58</v>
      </c>
      <c r="G6" s="30">
        <f ca="1">SUM(TbCarteira[Total Atual])</f>
        <v>36179.14</v>
      </c>
      <c r="H6" s="30">
        <f ca="1">SUMIF(TbCarteira[Tipo],"EMPRESA",TbCarteira[Total Atual])</f>
        <v>27979</v>
      </c>
      <c r="I6" s="30">
        <f ca="1">SUMIF(TbCarteira[Tipo],"FII",TbCarteira[Total Atual])</f>
        <v>8200.14</v>
      </c>
      <c r="N6" s="33">
        <v>8</v>
      </c>
      <c r="O6" s="30" t="str">
        <f t="shared" ca="1" si="0"/>
        <v>-</v>
      </c>
      <c r="P6" s="30" t="str">
        <f t="shared" ca="1" si="1"/>
        <v>-</v>
      </c>
      <c r="R6" s="33">
        <v>8</v>
      </c>
      <c r="S6" s="30" t="str" cm="1">
        <f t="array" aca="1" ref="S6" ca="1">IF(ISNA(INDEX(TbCarteira[],U6,1)),"-",INDEX(TbCarteira[],U6,1))</f>
        <v>HGRE11</v>
      </c>
      <c r="T6" s="30">
        <f ca="1">IF(ISNUMBER(LARGE(TbCarteira[Total Atual],R6)),LARGE(TbCarteira[Total Atual],R6),0)</f>
        <v>1932.15</v>
      </c>
      <c r="U6" s="33">
        <f ca="1">MATCH(T6,TbCarteira[Total Atual],0)</f>
        <v>7</v>
      </c>
      <c r="W6" s="33">
        <v>8</v>
      </c>
      <c r="X6" s="30" t="str" cm="1">
        <f t="array" aca="1" ref="X6" ca="1">IF(ISNA(INDEX(TbCarteiraAções[],Z6,1)),"-",INDEX(TbCarteiraAções[],Z6,1))</f>
        <v>-</v>
      </c>
      <c r="Y6" s="30" t="str">
        <f ca="1">IF(ISNUMBER(LARGE(TbCarteiraAções[Total Atual],W6)),LARGE(TbCarteiraAções[Total Atual],W6),"-")</f>
        <v>-</v>
      </c>
      <c r="Z6" s="33" t="e">
        <f ca="1">MATCH(Y6,TbCarteiraAções[Total Atual],0)</f>
        <v>#N/A</v>
      </c>
      <c r="AB6" s="33">
        <v>8</v>
      </c>
      <c r="AC6" s="30" t="str" cm="1">
        <f t="array" aca="1" ref="AC6" ca="1">IF(ISNA(INDEX(TbCarteiraFII[],AE6,1)),"-",INDEX(TbCarteiraFII[],AE6,1))</f>
        <v>-</v>
      </c>
      <c r="AD6" s="30" t="str">
        <f ca="1">IF(ISNUMBER(LARGE(TbCarteiraFII[Total Atual],AB6)),LARGE(TbCarteiraFII[Total Atual],AB6),"-")</f>
        <v>-</v>
      </c>
      <c r="AE6" s="33" t="e">
        <f ca="1">MATCH(AD6,TbCarteiraFII[Total Atual],0)</f>
        <v>#N/A</v>
      </c>
    </row>
    <row r="7" spans="2:31" x14ac:dyDescent="0.25">
      <c r="E7" s="27">
        <v>3</v>
      </c>
      <c r="F7" s="27" t="s">
        <v>52</v>
      </c>
      <c r="G7" s="30">
        <f ca="1">SUM(TbCarteira[Valorização])</f>
        <v>11467.91</v>
      </c>
      <c r="H7" s="30">
        <f ca="1">SUMIF(TbCarteira[Tipo],"EMPRESA",TbCarteira[Valorização])</f>
        <v>10381</v>
      </c>
      <c r="I7" s="30">
        <f ca="1">SUMIF(TbCarteira[Tipo],"FII",TbCarteira[Valorização])</f>
        <v>1086.9100000000001</v>
      </c>
      <c r="N7" s="33">
        <v>7</v>
      </c>
      <c r="O7" s="30" t="str">
        <f t="shared" ca="1" si="0"/>
        <v>-</v>
      </c>
      <c r="P7" s="30" t="str">
        <f t="shared" ca="1" si="1"/>
        <v>-</v>
      </c>
      <c r="R7" s="33">
        <v>7</v>
      </c>
      <c r="S7" s="30" t="str" cm="1">
        <f t="array" aca="1" ref="S7" ca="1">IF(ISNA(INDEX(TbCarteira[],U7,1)),"-",INDEX(TbCarteira[],U7,1))</f>
        <v>HGBS11</v>
      </c>
      <c r="T7" s="30">
        <f ca="1">IF(ISNUMBER(LARGE(TbCarteira[Total Atual],R7)),LARGE(TbCarteira[Total Atual],R7),0)</f>
        <v>2065.77</v>
      </c>
      <c r="U7" s="33">
        <f ca="1">MATCH(T7,TbCarteira[Total Atual],0)</f>
        <v>5</v>
      </c>
      <c r="W7" s="33">
        <v>7</v>
      </c>
      <c r="X7" s="30" t="str" cm="1">
        <f t="array" aca="1" ref="X7" ca="1">IF(ISNA(INDEX(TbCarteiraAções[],Z7,1)),"-",INDEX(TbCarteiraAções[],Z7,1))</f>
        <v>-</v>
      </c>
      <c r="Y7" s="30" t="str">
        <f ca="1">IF(ISNUMBER(LARGE(TbCarteiraAções[Total Atual],W7)),LARGE(TbCarteiraAções[Total Atual],W7),"-")</f>
        <v>-</v>
      </c>
      <c r="Z7" s="33" t="e">
        <f ca="1">MATCH(Y7,TbCarteiraAções[Total Atual],0)</f>
        <v>#N/A</v>
      </c>
      <c r="AB7" s="33">
        <v>7</v>
      </c>
      <c r="AC7" s="30" t="str" cm="1">
        <f t="array" aca="1" ref="AC7" ca="1">IF(ISNA(INDEX(TbCarteiraFII[],AE7,1)),"-",INDEX(TbCarteiraFII[],AE7,1))</f>
        <v>-</v>
      </c>
      <c r="AD7" s="30" t="str">
        <f ca="1">IF(ISNUMBER(LARGE(TbCarteiraFII[Total Atual],AB7)),LARGE(TbCarteiraFII[Total Atual],AB7),"-")</f>
        <v>-</v>
      </c>
      <c r="AE7" s="33" t="e">
        <f ca="1">MATCH(AD7,TbCarteiraFII[Total Atual],0)</f>
        <v>#N/A</v>
      </c>
    </row>
    <row r="8" spans="2:31" x14ac:dyDescent="0.25">
      <c r="B8" s="34" t="s">
        <v>65</v>
      </c>
      <c r="C8" s="34"/>
      <c r="E8" s="27">
        <v>4</v>
      </c>
      <c r="F8" s="27" t="s">
        <v>53</v>
      </c>
      <c r="G8" s="31">
        <f ca="1">G6/G5-1</f>
        <v>0.46407685898273776</v>
      </c>
      <c r="H8" s="31">
        <f ca="1">H6/H5-1</f>
        <v>0.58989657915672233</v>
      </c>
      <c r="I8" s="31">
        <f ca="1">I6/I5-1</f>
        <v>0.15280118877078319</v>
      </c>
      <c r="N8" s="33">
        <v>6</v>
      </c>
      <c r="O8" s="30" t="str">
        <f t="shared" ca="1" si="0"/>
        <v>-</v>
      </c>
      <c r="P8" s="30" t="str">
        <f t="shared" ca="1" si="1"/>
        <v>-</v>
      </c>
      <c r="R8" s="33">
        <v>6</v>
      </c>
      <c r="S8" s="30" t="str" cm="1">
        <f t="array" aca="1" ref="S8" ca="1">IF(ISNA(INDEX(TbCarteira[],U8,1)),"-",INDEX(TbCarteira[],U8,1))</f>
        <v>TAEE4</v>
      </c>
      <c r="T8" s="30">
        <f ca="1">IF(ISNUMBER(LARGE(TbCarteira[Total Atual],R8)),LARGE(TbCarteira[Total Atual],R8),0)</f>
        <v>2384</v>
      </c>
      <c r="U8" s="33">
        <f ca="1">MATCH(T8,TbCarteira[Total Atual],0)</f>
        <v>9</v>
      </c>
      <c r="W8" s="33">
        <v>6</v>
      </c>
      <c r="X8" s="30" t="str" cm="1">
        <f t="array" aca="1" ref="X8" ca="1">IF(ISNA(INDEX(TbCarteiraAções[],Z8,1)),"-",INDEX(TbCarteiraAções[],Z8,1))</f>
        <v>-</v>
      </c>
      <c r="Y8" s="30" t="str">
        <f ca="1">IF(ISNUMBER(LARGE(TbCarteiraAções[Total Atual],W8)),LARGE(TbCarteiraAções[Total Atual],W8),"-")</f>
        <v>-</v>
      </c>
      <c r="Z8" s="33" t="e">
        <f ca="1">MATCH(Y8,TbCarteiraAções[Total Atual],0)</f>
        <v>#N/A</v>
      </c>
      <c r="AB8" s="33">
        <v>6</v>
      </c>
      <c r="AC8" s="30" t="str" cm="1">
        <f t="array" aca="1" ref="AC8" ca="1">IF(ISNA(INDEX(TbCarteiraFII[],AE8,1)),"-",INDEX(TbCarteiraFII[],AE8,1))</f>
        <v>-</v>
      </c>
      <c r="AD8" s="30" t="str">
        <f ca="1">IF(ISNUMBER(LARGE(TbCarteiraFII[Total Atual],AB8)),LARGE(TbCarteiraFII[Total Atual],AB8),"-")</f>
        <v>-</v>
      </c>
      <c r="AE8" s="33" t="e">
        <f ca="1">MATCH(AD8,TbCarteiraFII[Total Atual],0)</f>
        <v>#N/A</v>
      </c>
    </row>
    <row r="9" spans="2:31" x14ac:dyDescent="0.25">
      <c r="B9" s="25" t="s">
        <v>66</v>
      </c>
      <c r="C9" s="24">
        <v>3</v>
      </c>
      <c r="N9" s="33">
        <v>5</v>
      </c>
      <c r="O9" s="30" t="str">
        <f t="shared" ca="1" si="0"/>
        <v>-</v>
      </c>
      <c r="P9" s="30" t="str">
        <f t="shared" ca="1" si="1"/>
        <v>-</v>
      </c>
      <c r="R9" s="33">
        <v>5</v>
      </c>
      <c r="S9" s="30" t="str" cm="1">
        <f t="array" aca="1" ref="S9" ca="1">IF(ISNA(INDEX(TbCarteira[],U9,1)),"-",INDEX(TbCarteira[],U9,1))</f>
        <v>HGLG11</v>
      </c>
      <c r="T9" s="30">
        <f ca="1">IF(ISNUMBER(LARGE(TbCarteira[Total Atual],R9)),LARGE(TbCarteira[Total Atual],R9),0)</f>
        <v>2884.22</v>
      </c>
      <c r="U9" s="33">
        <f ca="1">MATCH(T9,TbCarteira[Total Atual],0)</f>
        <v>6</v>
      </c>
      <c r="W9" s="33">
        <v>5</v>
      </c>
      <c r="X9" s="30" t="str" cm="1">
        <f t="array" aca="1" ref="X9" ca="1">IF(ISNA(INDEX(TbCarteiraAções[],Z9,1)),"-",INDEX(TbCarteiraAções[],Z9,1))</f>
        <v>TAEE4</v>
      </c>
      <c r="Y9" s="30">
        <f ca="1">IF(ISNUMBER(LARGE(TbCarteiraAções[Total Atual],W9)),LARGE(TbCarteiraAções[Total Atual],W9),"-")</f>
        <v>2384</v>
      </c>
      <c r="Z9" s="33">
        <f ca="1">MATCH(Y9,TbCarteiraAções[Total Atual],0)</f>
        <v>5</v>
      </c>
      <c r="AB9" s="33">
        <v>5</v>
      </c>
      <c r="AC9" s="30" t="str" cm="1">
        <f t="array" aca="1" ref="AC9" ca="1">IF(ISNA(INDEX(TbCarteiraFII[],AE9,1)),"-",INDEX(TbCarteiraFII[],AE9,1))</f>
        <v>-</v>
      </c>
      <c r="AD9" s="30" t="str">
        <f ca="1">IF(ISNUMBER(LARGE(TbCarteiraFII[Total Atual],AB9)),LARGE(TbCarteiraFII[Total Atual],AB9),"-")</f>
        <v>-</v>
      </c>
      <c r="AE9" s="33" t="e">
        <f ca="1">MATCH(AD9,TbCarteiraFII[Total Atual],0)</f>
        <v>#N/A</v>
      </c>
    </row>
    <row r="10" spans="2:31" x14ac:dyDescent="0.25">
      <c r="B10" s="25" t="s">
        <v>67</v>
      </c>
      <c r="C10" s="28">
        <f>Dashboard!E1</f>
        <v>20000</v>
      </c>
      <c r="N10" s="33">
        <v>4</v>
      </c>
      <c r="O10" s="30" t="str">
        <f t="shared" ca="1" si="0"/>
        <v>KNRI11</v>
      </c>
      <c r="P10" s="30">
        <f t="shared" ca="1" si="1"/>
        <v>1318</v>
      </c>
      <c r="R10" s="33">
        <v>4</v>
      </c>
      <c r="S10" s="30" t="str" cm="1">
        <f t="array" aca="1" ref="S10" ca="1">IF(ISNA(INDEX(TbCarteira[],U10,1)),"-",INDEX(TbCarteira[],U10,1))</f>
        <v>FLRY3</v>
      </c>
      <c r="T10" s="30">
        <f ca="1">IF(ISNUMBER(LARGE(TbCarteira[Total Atual],R10)),LARGE(TbCarteira[Total Atual],R10),0)</f>
        <v>3084</v>
      </c>
      <c r="U10" s="33">
        <f ca="1">MATCH(T10,TbCarteira[Total Atual],0)</f>
        <v>2</v>
      </c>
      <c r="W10" s="33">
        <v>4</v>
      </c>
      <c r="X10" s="30" t="str" cm="1">
        <f t="array" aca="1" ref="X10" ca="1">IF(ISNA(INDEX(TbCarteiraAções[],Z10,1)),"-",INDEX(TbCarteiraAções[],Z10,1))</f>
        <v>FLRY3</v>
      </c>
      <c r="Y10" s="30">
        <f ca="1">IF(ISNUMBER(LARGE(TbCarteiraAções[Total Atual],W10)),LARGE(TbCarteiraAções[Total Atual],W10),"-")</f>
        <v>3084</v>
      </c>
      <c r="Z10" s="33">
        <f ca="1">MATCH(Y10,TbCarteiraAções[Total Atual],0)</f>
        <v>2</v>
      </c>
      <c r="AB10" s="33">
        <v>4</v>
      </c>
      <c r="AC10" s="30" t="str" cm="1">
        <f t="array" aca="1" ref="AC10" ca="1">IF(ISNA(INDEX(TbCarteiraFII[],AE10,1)),"-",INDEX(TbCarteiraFII[],AE10,1))</f>
        <v>KNRI11</v>
      </c>
      <c r="AD10" s="30">
        <f ca="1">IF(ISNUMBER(LARGE(TbCarteiraFII[Total Atual],AB10)),LARGE(TbCarteiraFII[Total Atual],AB10),"-")</f>
        <v>1318</v>
      </c>
      <c r="AE10" s="33">
        <f ca="1">MATCH(AD10,TbCarteiraFII[Total Atual],0)</f>
        <v>4</v>
      </c>
    </row>
    <row r="11" spans="2:31" x14ac:dyDescent="0.25">
      <c r="N11" s="33">
        <v>3</v>
      </c>
      <c r="O11" s="30" t="str">
        <f t="shared" ca="1" si="0"/>
        <v>HGRE11</v>
      </c>
      <c r="P11" s="30">
        <f t="shared" ca="1" si="1"/>
        <v>1932.15</v>
      </c>
      <c r="R11" s="33">
        <v>3</v>
      </c>
      <c r="S11" s="30" t="str" cm="1">
        <f t="array" aca="1" ref="S11" ca="1">IF(ISNA(INDEX(TbCarteira[],U11,1)),"-",INDEX(TbCarteira[],U11,1))</f>
        <v>ITSA4</v>
      </c>
      <c r="T11" s="30">
        <f ca="1">IF(ISNUMBER(LARGE(TbCarteira[Total Atual],R11)),LARGE(TbCarteira[Total Atual],R11),0)</f>
        <v>3090</v>
      </c>
      <c r="U11" s="33">
        <f ca="1">MATCH(T11,TbCarteira[Total Atual],0)</f>
        <v>3</v>
      </c>
      <c r="W11" s="33">
        <v>3</v>
      </c>
      <c r="X11" s="30" t="str" cm="1">
        <f t="array" aca="1" ref="X11" ca="1">IF(ISNA(INDEX(TbCarteiraAções[],Z11,1)),"-",INDEX(TbCarteiraAções[],Z11,1))</f>
        <v>ITSA4</v>
      </c>
      <c r="Y11" s="30">
        <f ca="1">IF(ISNUMBER(LARGE(TbCarteiraAções[Total Atual],W11)),LARGE(TbCarteiraAções[Total Atual],W11),"-")</f>
        <v>3090</v>
      </c>
      <c r="Z11" s="33">
        <f ca="1">MATCH(Y11,TbCarteiraAções[Total Atual],0)</f>
        <v>3</v>
      </c>
      <c r="AB11" s="33">
        <v>3</v>
      </c>
      <c r="AC11" s="30" t="str" cm="1">
        <f t="array" aca="1" ref="AC11" ca="1">IF(ISNA(INDEX(TbCarteiraFII[],AE11,1)),"-",INDEX(TbCarteiraFII[],AE11,1))</f>
        <v>HGRE11</v>
      </c>
      <c r="AD11" s="30">
        <f ca="1">IF(ISNUMBER(LARGE(TbCarteiraFII[Total Atual],AB11)),LARGE(TbCarteiraFII[Total Atual],AB11),"-")</f>
        <v>1932.15</v>
      </c>
      <c r="AE11" s="33">
        <f ca="1">MATCH(AD11,TbCarteiraFII[Total Atual],0)</f>
        <v>3</v>
      </c>
    </row>
    <row r="12" spans="2:31" x14ac:dyDescent="0.25">
      <c r="B12" s="34" t="s">
        <v>70</v>
      </c>
      <c r="C12" s="34"/>
      <c r="N12" s="33">
        <v>2</v>
      </c>
      <c r="O12" s="30" t="str">
        <f t="shared" ca="1" si="0"/>
        <v>HGBS11</v>
      </c>
      <c r="P12" s="30">
        <f t="shared" ca="1" si="1"/>
        <v>2065.77</v>
      </c>
      <c r="R12" s="33">
        <v>2</v>
      </c>
      <c r="S12" s="30" t="str" cm="1">
        <f t="array" aca="1" ref="S12" ca="1">IF(ISNA(INDEX(TbCarteira[],U12,1)),"-",INDEX(TbCarteira[],U12,1))</f>
        <v>CSNA3</v>
      </c>
      <c r="T12" s="30">
        <f ca="1">IF(ISNUMBER(LARGE(TbCarteira[Total Atual],R12)),LARGE(TbCarteira[Total Atual],R12),0)</f>
        <v>4821</v>
      </c>
      <c r="U12" s="33">
        <f ca="1">MATCH(T12,TbCarteira[Total Atual],0)</f>
        <v>1</v>
      </c>
      <c r="W12" s="33">
        <v>2</v>
      </c>
      <c r="X12" s="30" t="str" cm="1">
        <f t="array" aca="1" ref="X12" ca="1">IF(ISNA(INDEX(TbCarteiraAções[],Z12,1)),"-",INDEX(TbCarteiraAções[],Z12,1))</f>
        <v>CSNA3</v>
      </c>
      <c r="Y12" s="30">
        <f ca="1">IF(ISNUMBER(LARGE(TbCarteiraAções[Total Atual],W12)),LARGE(TbCarteiraAções[Total Atual],W12),"-")</f>
        <v>4821</v>
      </c>
      <c r="Z12" s="33">
        <f ca="1">MATCH(Y12,TbCarteiraAções[Total Atual],0)</f>
        <v>1</v>
      </c>
      <c r="AB12" s="33">
        <v>2</v>
      </c>
      <c r="AC12" s="30" t="str" cm="1">
        <f t="array" aca="1" ref="AC12" ca="1">IF(ISNA(INDEX(TbCarteiraFII[],AE12,1)),"-",INDEX(TbCarteiraFII[],AE12,1))</f>
        <v>HGBS11</v>
      </c>
      <c r="AD12" s="30">
        <f ca="1">IF(ISNUMBER(LARGE(TbCarteiraFII[Total Atual],AB12)),LARGE(TbCarteiraFII[Total Atual],AB12),"-")</f>
        <v>2065.77</v>
      </c>
      <c r="AE12" s="33">
        <f ca="1">MATCH(AD12,TbCarteiraFII[Total Atual],0)</f>
        <v>1</v>
      </c>
    </row>
    <row r="13" spans="2:31" x14ac:dyDescent="0.25">
      <c r="B13" s="27" t="s">
        <v>50</v>
      </c>
      <c r="C13" s="28" cm="1">
        <f t="array" aca="1" ref="C13" ca="1">INDEX($G$5:$I$8,E5,$C$9)</f>
        <v>7113.2300000000005</v>
      </c>
      <c r="N13" s="33">
        <v>1</v>
      </c>
      <c r="O13" s="30" t="str">
        <f t="shared" ca="1" si="0"/>
        <v>HGLG11</v>
      </c>
      <c r="P13" s="30">
        <f t="shared" ca="1" si="1"/>
        <v>2884.22</v>
      </c>
      <c r="R13" s="33">
        <v>1</v>
      </c>
      <c r="S13" s="30" t="str" cm="1">
        <f t="array" aca="1" ref="S13" ca="1">IF(ISNA(INDEX(TbCarteira[],U13,1)),"-",INDEX(TbCarteira[],U13,1))</f>
        <v>PETR4</v>
      </c>
      <c r="T13" s="30">
        <f ca="1">IF(ISNUMBER(LARGE(TbCarteira[Total Atual],R13)),LARGE(TbCarteira[Total Atual],R13),0)</f>
        <v>14600</v>
      </c>
      <c r="U13" s="33">
        <f ca="1">MATCH(T13,TbCarteira[Total Atual],0)</f>
        <v>4</v>
      </c>
      <c r="W13" s="33">
        <v>1</v>
      </c>
      <c r="X13" s="30" t="str" cm="1">
        <f t="array" aca="1" ref="X13" ca="1">IF(ISNA(INDEX(TbCarteiraAções[],Z13,1)),"-",INDEX(TbCarteiraAções[],Z13,1))</f>
        <v>PETR4</v>
      </c>
      <c r="Y13" s="30">
        <f ca="1">IF(ISNUMBER(LARGE(TbCarteiraAções[Total Atual],W13)),LARGE(TbCarteiraAções[Total Atual],W13),"-")</f>
        <v>14600</v>
      </c>
      <c r="Z13" s="33">
        <f ca="1">MATCH(Y13,TbCarteiraAções[Total Atual],0)</f>
        <v>4</v>
      </c>
      <c r="AB13" s="33">
        <v>1</v>
      </c>
      <c r="AC13" s="30" t="str" cm="1">
        <f t="array" aca="1" ref="AC13" ca="1">IF(ISNA(INDEX(TbCarteiraFII[],AE13,1)),"-",INDEX(TbCarteiraFII[],AE13,1))</f>
        <v>HGLG11</v>
      </c>
      <c r="AD13" s="30">
        <f ca="1">IF(ISNUMBER(LARGE(TbCarteiraFII[Total Atual],AB13)),LARGE(TbCarteiraFII[Total Atual],AB13),"-")</f>
        <v>2884.22</v>
      </c>
      <c r="AE13" s="33">
        <f ca="1">MATCH(AD13,TbCarteiraFII[Total Atual],0)</f>
        <v>2</v>
      </c>
    </row>
    <row r="14" spans="2:31" x14ac:dyDescent="0.25">
      <c r="B14" s="27" t="s">
        <v>58</v>
      </c>
      <c r="C14" s="28" cm="1">
        <f t="array" aca="1" ref="C14" ca="1">INDEX($G$5:$I$8,E6,$C$9)</f>
        <v>8200.14</v>
      </c>
    </row>
    <row r="15" spans="2:31" x14ac:dyDescent="0.25">
      <c r="B15" s="27" t="s">
        <v>52</v>
      </c>
      <c r="C15" s="28" cm="1">
        <f t="array" aca="1" ref="C15" ca="1">INDEX($G$5:$I$8,E7,$C$9)</f>
        <v>1086.9100000000001</v>
      </c>
      <c r="N15" s="34" t="s">
        <v>80</v>
      </c>
      <c r="O15" s="34"/>
      <c r="P15" s="34"/>
      <c r="R15" s="34" t="s">
        <v>81</v>
      </c>
      <c r="S15" s="34"/>
      <c r="T15" s="34"/>
      <c r="U15" s="34"/>
      <c r="W15" s="34" t="s">
        <v>82</v>
      </c>
      <c r="X15" s="34"/>
      <c r="Y15" s="34"/>
      <c r="Z15" s="34"/>
      <c r="AB15" s="34" t="s">
        <v>83</v>
      </c>
      <c r="AC15" s="34"/>
      <c r="AD15" s="34"/>
      <c r="AE15" s="34"/>
    </row>
    <row r="16" spans="2:31" x14ac:dyDescent="0.25">
      <c r="B16" s="27" t="s">
        <v>53</v>
      </c>
      <c r="C16" s="29" cm="1">
        <f t="array" aca="1" ref="C16" ca="1">INDEX($G$5:$I$8,E8,$C$9)</f>
        <v>0.15280118877078319</v>
      </c>
      <c r="N16" s="27" t="s">
        <v>75</v>
      </c>
      <c r="O16" s="27" t="s">
        <v>15</v>
      </c>
      <c r="P16" s="27" t="s">
        <v>53</v>
      </c>
      <c r="R16" s="27" t="s">
        <v>75</v>
      </c>
      <c r="S16" s="27" t="s">
        <v>15</v>
      </c>
      <c r="T16" s="27" t="s">
        <v>53</v>
      </c>
      <c r="U16" s="27" t="s">
        <v>77</v>
      </c>
      <c r="W16" s="27" t="s">
        <v>75</v>
      </c>
      <c r="X16" s="27" t="s">
        <v>15</v>
      </c>
      <c r="Y16" s="27" t="s">
        <v>53</v>
      </c>
      <c r="Z16" s="27" t="s">
        <v>77</v>
      </c>
      <c r="AB16" s="27" t="s">
        <v>75</v>
      </c>
      <c r="AC16" s="27" t="s">
        <v>15</v>
      </c>
      <c r="AD16" s="27" t="s">
        <v>53</v>
      </c>
      <c r="AE16" s="27" t="s">
        <v>77</v>
      </c>
    </row>
    <row r="17" spans="14:31" x14ac:dyDescent="0.25">
      <c r="N17" s="33">
        <v>10</v>
      </c>
      <c r="O17" s="30" t="str">
        <f ca="1">IF($C$9=1,S17,IF($C$9=2,X17,AC17))</f>
        <v>-</v>
      </c>
      <c r="P17" s="30" t="str">
        <f ca="1">IF($C$9=1,T17,IF($C$9=2,Y17,AD17))</f>
        <v>-</v>
      </c>
      <c r="R17" s="33">
        <v>10</v>
      </c>
      <c r="S17" s="30" t="str" cm="1">
        <f t="array" aca="1" ref="S17" ca="1">IF(ISNA(INDEX(TbCarteira[],U17,1)),"-",INDEX(TbCarteira[],U17,1))</f>
        <v>-</v>
      </c>
      <c r="T17" s="35">
        <f ca="1">IF(ISNUMBER(LARGE(TbCarteira[Valorização %],R17)),LARGE(TbCarteira[Valorização %],R17),0)</f>
        <v>0</v>
      </c>
      <c r="U17" s="33" t="e">
        <f ca="1">MATCH(T17,TbCarteira[Valorização %],0)</f>
        <v>#N/A</v>
      </c>
      <c r="W17" s="33">
        <v>10</v>
      </c>
      <c r="X17" s="30" t="str" cm="1">
        <f t="array" aca="1" ref="X17" ca="1">IF(ISNA(INDEX(TbCarteiraAções[],Z17,1)),"-",INDEX(TbCarteiraAções[],Z17,1))</f>
        <v>-</v>
      </c>
      <c r="Y17" s="35" t="str">
        <f ca="1">IF(ISNUMBER(LARGE(TbCarteiraAções[Valorização %],W17)),LARGE(TbCarteiraAções[Valorização %],W17),"-")</f>
        <v>-</v>
      </c>
      <c r="Z17" s="33" t="e">
        <f ca="1">MATCH(Y17,TbCarteiraAções[Valorização %],0)</f>
        <v>#N/A</v>
      </c>
      <c r="AB17" s="33">
        <v>10</v>
      </c>
      <c r="AC17" s="30" t="str" cm="1">
        <f t="array" aca="1" ref="AC17" ca="1">IF(ISNA(INDEX(TbCarteiraFII[],AE17,1)),"-",INDEX(TbCarteiraFII[],AE17,1))</f>
        <v>-</v>
      </c>
      <c r="AD17" s="35" t="str">
        <f ca="1">IF(ISNUMBER(LARGE(TbCarteiraFII[Valorização %],AB17)),LARGE(TbCarteiraFII[Valorização %],AB17),"-")</f>
        <v>-</v>
      </c>
      <c r="AE17" s="33" t="e">
        <f ca="1">MATCH(AD17,TbCarteiraFII[Valorização %],0)</f>
        <v>#N/A</v>
      </c>
    </row>
    <row r="18" spans="14:31" x14ac:dyDescent="0.25">
      <c r="N18" s="33">
        <v>9</v>
      </c>
      <c r="O18" s="30" t="str">
        <f t="shared" ref="O18:O26" ca="1" si="2">IF($C$9=1,S18,IF($C$9=2,X18,AC18))</f>
        <v>-</v>
      </c>
      <c r="P18" s="30" t="str">
        <f t="shared" ref="P18:P26" ca="1" si="3">IF($C$9=1,T18,IF($C$9=2,Y18,AD18))</f>
        <v>-</v>
      </c>
      <c r="R18" s="33">
        <v>9</v>
      </c>
      <c r="S18" s="30" t="str" cm="1">
        <f t="array" aca="1" ref="S18" ca="1">IF(ISNA(INDEX(TbCarteira[],U18,1)),"-",INDEX(TbCarteira[],U18,1))</f>
        <v>FLRY3</v>
      </c>
      <c r="T18" s="35">
        <f ca="1">IF(ISNUMBER(LARGE(TbCarteira[Valorização %],R18)),LARGE(TbCarteira[Valorização %],R18),0)</f>
        <v>-0.23416935684132112</v>
      </c>
      <c r="U18" s="33">
        <f ca="1">MATCH(T18,TbCarteira[Valorização %],0)</f>
        <v>2</v>
      </c>
      <c r="W18" s="33">
        <v>9</v>
      </c>
      <c r="X18" s="30" t="str" cm="1">
        <f t="array" aca="1" ref="X18" ca="1">IF(ISNA(INDEX(TbCarteiraAções[],Z18,1)),"-",INDEX(TbCarteiraAções[],Z18,1))</f>
        <v>-</v>
      </c>
      <c r="Y18" s="35" t="str">
        <f ca="1">IF(ISNUMBER(LARGE(TbCarteiraAções[Valorização %],W18)),LARGE(TbCarteiraAções[Valorização %],W18),"-")</f>
        <v>-</v>
      </c>
      <c r="Z18" s="33" t="e">
        <f ca="1">MATCH(Y18,TbCarteiraAções[Valorização %],0)</f>
        <v>#N/A</v>
      </c>
      <c r="AB18" s="33">
        <v>9</v>
      </c>
      <c r="AC18" s="30" t="str" cm="1">
        <f t="array" aca="1" ref="AC18" ca="1">IF(ISNA(INDEX(TbCarteiraFII[],AE18,1)),"-",INDEX(TbCarteiraFII[],AE18,1))</f>
        <v>-</v>
      </c>
      <c r="AD18" s="35" t="str">
        <f ca="1">IF(ISNUMBER(LARGE(TbCarteiraFII[Valorização %],AB18)),LARGE(TbCarteiraFII[Valorização %],AB18),"-")</f>
        <v>-</v>
      </c>
      <c r="AE18" s="33" t="e">
        <f ca="1">MATCH(AD18,TbCarteiraFII[Valorização %],0)</f>
        <v>#N/A</v>
      </c>
    </row>
    <row r="19" spans="14:31" x14ac:dyDescent="0.25">
      <c r="N19" s="33">
        <v>8</v>
      </c>
      <c r="O19" s="30" t="str">
        <f t="shared" ca="1" si="2"/>
        <v>-</v>
      </c>
      <c r="P19" s="30" t="str">
        <f t="shared" ca="1" si="3"/>
        <v>-</v>
      </c>
      <c r="R19" s="33">
        <v>8</v>
      </c>
      <c r="S19" s="30" t="str" cm="1">
        <f t="array" aca="1" ref="S19" ca="1">IF(ISNA(INDEX(TbCarteira[],U19,1)),"-",INDEX(TbCarteira[],U19,1))</f>
        <v>HGRE11</v>
      </c>
      <c r="T19" s="35">
        <f ca="1">IF(ISNUMBER(LARGE(TbCarteira[Valorização %],R19)),LARGE(TbCarteira[Valorização %],R19),0)</f>
        <v>-3.414536020260206E-3</v>
      </c>
      <c r="U19" s="33">
        <f ca="1">MATCH(T19,TbCarteira[Valorização %],0)</f>
        <v>7</v>
      </c>
      <c r="W19" s="33">
        <v>8</v>
      </c>
      <c r="X19" s="30" t="str" cm="1">
        <f t="array" aca="1" ref="X19" ca="1">IF(ISNA(INDEX(TbCarteiraAções[],Z19,1)),"-",INDEX(TbCarteiraAções[],Z19,1))</f>
        <v>-</v>
      </c>
      <c r="Y19" s="35" t="str">
        <f ca="1">IF(ISNUMBER(LARGE(TbCarteiraAções[Valorização %],W19)),LARGE(TbCarteiraAções[Valorização %],W19),"-")</f>
        <v>-</v>
      </c>
      <c r="Z19" s="33" t="e">
        <f ca="1">MATCH(Y19,TbCarteiraAções[Valorização %],0)</f>
        <v>#N/A</v>
      </c>
      <c r="AB19" s="33">
        <v>8</v>
      </c>
      <c r="AC19" s="30" t="str" cm="1">
        <f t="array" aca="1" ref="AC19" ca="1">IF(ISNA(INDEX(TbCarteiraFII[],AE19,1)),"-",INDEX(TbCarteiraFII[],AE19,1))</f>
        <v>-</v>
      </c>
      <c r="AD19" s="35" t="str">
        <f ca="1">IF(ISNUMBER(LARGE(TbCarteiraFII[Valorização %],AB19)),LARGE(TbCarteiraFII[Valorização %],AB19),"-")</f>
        <v>-</v>
      </c>
      <c r="AE19" s="33" t="e">
        <f ca="1">MATCH(AD19,TbCarteiraFII[Valorização %],0)</f>
        <v>#N/A</v>
      </c>
    </row>
    <row r="20" spans="14:31" x14ac:dyDescent="0.25">
      <c r="N20" s="33">
        <v>7</v>
      </c>
      <c r="O20" s="30" t="str">
        <f t="shared" ca="1" si="2"/>
        <v>-</v>
      </c>
      <c r="P20" s="30" t="str">
        <f t="shared" ca="1" si="3"/>
        <v>-</v>
      </c>
      <c r="R20" s="33">
        <v>7</v>
      </c>
      <c r="S20" s="30" t="str" cm="1">
        <f t="array" aca="1" ref="S20" ca="1">IF(ISNA(INDEX(TbCarteira[],U20,1)),"-",INDEX(TbCarteira[],U20,1))</f>
        <v>KNRI11</v>
      </c>
      <c r="T20" s="35">
        <f ca="1">IF(ISNUMBER(LARGE(TbCarteira[Valorização %],R20)),LARGE(TbCarteira[Valorização %],R20),0)</f>
        <v>0.18813666276029939</v>
      </c>
      <c r="U20" s="33">
        <f ca="1">MATCH(T20,TbCarteira[Valorização %],0)</f>
        <v>8</v>
      </c>
      <c r="W20" s="33">
        <v>7</v>
      </c>
      <c r="X20" s="30" t="str" cm="1">
        <f t="array" aca="1" ref="X20" ca="1">IF(ISNA(INDEX(TbCarteiraAções[],Z20,1)),"-",INDEX(TbCarteiraAções[],Z20,1))</f>
        <v>-</v>
      </c>
      <c r="Y20" s="35" t="str">
        <f ca="1">IF(ISNUMBER(LARGE(TbCarteiraAções[Valorização %],W20)),LARGE(TbCarteiraAções[Valorização %],W20),"-")</f>
        <v>-</v>
      </c>
      <c r="Z20" s="33" t="e">
        <f ca="1">MATCH(Y20,TbCarteiraAções[Valorização %],0)</f>
        <v>#N/A</v>
      </c>
      <c r="AB20" s="33">
        <v>7</v>
      </c>
      <c r="AC20" s="30" t="str" cm="1">
        <f t="array" aca="1" ref="AC20" ca="1">IF(ISNA(INDEX(TbCarteiraFII[],AE20,1)),"-",INDEX(TbCarteiraFII[],AE20,1))</f>
        <v>-</v>
      </c>
      <c r="AD20" s="35" t="str">
        <f ca="1">IF(ISNUMBER(LARGE(TbCarteiraFII[Valorização %],AB20)),LARGE(TbCarteiraFII[Valorização %],AB20),"-")</f>
        <v>-</v>
      </c>
      <c r="AE20" s="33" t="e">
        <f ca="1">MATCH(AD20,TbCarteiraFII[Valorização %],0)</f>
        <v>#N/A</v>
      </c>
    </row>
    <row r="21" spans="14:31" x14ac:dyDescent="0.25">
      <c r="N21" s="33">
        <v>6</v>
      </c>
      <c r="O21" s="30" t="str">
        <f t="shared" ca="1" si="2"/>
        <v>-</v>
      </c>
      <c r="P21" s="30" t="str">
        <f t="shared" ca="1" si="3"/>
        <v>-</v>
      </c>
      <c r="R21" s="33">
        <v>6</v>
      </c>
      <c r="S21" s="30" t="str" cm="1">
        <f t="array" aca="1" ref="S21" ca="1">IF(ISNA(INDEX(TbCarteira[],U21,1)),"-",INDEX(TbCarteira[],U21,1))</f>
        <v>HGBS11</v>
      </c>
      <c r="T21" s="35">
        <f ca="1">IF(ISNUMBER(LARGE(TbCarteira[Valorização %],R21)),LARGE(TbCarteira[Valorização %],R21),0)</f>
        <v>0.20498731297576356</v>
      </c>
      <c r="U21" s="33">
        <f ca="1">MATCH(T21,TbCarteira[Valorização %],0)</f>
        <v>5</v>
      </c>
      <c r="W21" s="33">
        <v>6</v>
      </c>
      <c r="X21" s="30" t="str" cm="1">
        <f t="array" aca="1" ref="X21" ca="1">IF(ISNA(INDEX(TbCarteiraAções[],Z21,1)),"-",INDEX(TbCarteiraAções[],Z21,1))</f>
        <v>-</v>
      </c>
      <c r="Y21" s="35" t="str">
        <f ca="1">IF(ISNUMBER(LARGE(TbCarteiraAções[Valorização %],W21)),LARGE(TbCarteiraAções[Valorização %],W21),"-")</f>
        <v>-</v>
      </c>
      <c r="Z21" s="33" t="e">
        <f ca="1">MATCH(Y21,TbCarteiraAções[Valorização %],0)</f>
        <v>#N/A</v>
      </c>
      <c r="AB21" s="33">
        <v>6</v>
      </c>
      <c r="AC21" s="30" t="str" cm="1">
        <f t="array" aca="1" ref="AC21" ca="1">IF(ISNA(INDEX(TbCarteiraFII[],AE21,1)),"-",INDEX(TbCarteiraFII[],AE21,1))</f>
        <v>-</v>
      </c>
      <c r="AD21" s="35" t="str">
        <f ca="1">IF(ISNUMBER(LARGE(TbCarteiraFII[Valorização %],AB21)),LARGE(TbCarteiraFII[Valorização %],AB21),"-")</f>
        <v>-</v>
      </c>
      <c r="AE21" s="33" t="e">
        <f ca="1">MATCH(AD21,TbCarteiraFII[Valorização %],0)</f>
        <v>#N/A</v>
      </c>
    </row>
    <row r="22" spans="14:31" x14ac:dyDescent="0.25">
      <c r="N22" s="33">
        <v>5</v>
      </c>
      <c r="O22" s="30" t="str">
        <f t="shared" ca="1" si="2"/>
        <v>-</v>
      </c>
      <c r="P22" s="35" t="str">
        <f t="shared" ca="1" si="3"/>
        <v>-</v>
      </c>
      <c r="R22" s="33">
        <v>5</v>
      </c>
      <c r="S22" s="30" t="str" cm="1">
        <f t="array" aca="1" ref="S22" ca="1">IF(ISNA(INDEX(TbCarteira[],U22,1)),"-",INDEX(TbCarteira[],U22,1))</f>
        <v>HGLG11</v>
      </c>
      <c r="T22" s="35">
        <f ca="1">IF(ISNUMBER(LARGE(TbCarteira[Valorização %],R22)),LARGE(TbCarteira[Valorização %],R22),0)</f>
        <v>0.22690476899451673</v>
      </c>
      <c r="U22" s="33">
        <f ca="1">MATCH(T22,TbCarteira[Valorização %],0)</f>
        <v>6</v>
      </c>
      <c r="W22" s="33">
        <v>5</v>
      </c>
      <c r="X22" s="30" t="str" cm="1">
        <f t="array" aca="1" ref="X22" ca="1">IF(ISNA(INDEX(TbCarteiraAções[],Z22,1)),"-",INDEX(TbCarteiraAções[],Z22,1))</f>
        <v>FLRY3</v>
      </c>
      <c r="Y22" s="35">
        <f ca="1">IF(ISNUMBER(LARGE(TbCarteiraAções[Valorização %],W22)),LARGE(TbCarteiraAções[Valorização %],W22),"-")</f>
        <v>-0.23416935684132112</v>
      </c>
      <c r="Z22" s="33">
        <f ca="1">MATCH(Y22,TbCarteiraAções[Valorização %],0)</f>
        <v>2</v>
      </c>
      <c r="AB22" s="33">
        <v>5</v>
      </c>
      <c r="AC22" s="30" t="str" cm="1">
        <f t="array" aca="1" ref="AC22" ca="1">IF(ISNA(INDEX(TbCarteiraFII[],AE22,1)),"-",INDEX(TbCarteiraFII[],AE22,1))</f>
        <v>-</v>
      </c>
      <c r="AD22" s="35" t="str">
        <f ca="1">IF(ISNUMBER(LARGE(TbCarteiraFII[Valorização %],AB22)),LARGE(TbCarteiraFII[Valorização %],AB22),"-")</f>
        <v>-</v>
      </c>
      <c r="AE22" s="33" t="e">
        <f ca="1">MATCH(AD22,TbCarteiraFII[Valorização %],0)</f>
        <v>#N/A</v>
      </c>
    </row>
    <row r="23" spans="14:31" x14ac:dyDescent="0.25">
      <c r="N23" s="33">
        <v>4</v>
      </c>
      <c r="O23" s="30" t="str">
        <f t="shared" ca="1" si="2"/>
        <v>HGRE11</v>
      </c>
      <c r="P23" s="35">
        <f t="shared" ca="1" si="3"/>
        <v>-3.414536020260206E-3</v>
      </c>
      <c r="R23" s="33">
        <v>4</v>
      </c>
      <c r="S23" s="30" t="str" cm="1">
        <f t="array" aca="1" ref="S23" ca="1">IF(ISNA(INDEX(TbCarteira[],U23,1)),"-",INDEX(TbCarteira[],U23,1))</f>
        <v>ITSA4</v>
      </c>
      <c r="T23" s="35">
        <f ca="1">IF(ISNUMBER(LARGE(TbCarteira[Valorização %],R23)),LARGE(TbCarteira[Valorização %],R23),0)</f>
        <v>0.23009554140127397</v>
      </c>
      <c r="U23" s="33">
        <f ca="1">MATCH(T23,TbCarteira[Valorização %],0)</f>
        <v>3</v>
      </c>
      <c r="W23" s="33">
        <v>4</v>
      </c>
      <c r="X23" s="30" t="str" cm="1">
        <f t="array" aca="1" ref="X23" ca="1">IF(ISNA(INDEX(TbCarteiraAções[],Z23,1)),"-",INDEX(TbCarteiraAções[],Z23,1))</f>
        <v>ITSA4</v>
      </c>
      <c r="Y23" s="35">
        <f ca="1">IF(ISNUMBER(LARGE(TbCarteiraAções[Valorização %],W23)),LARGE(TbCarteiraAções[Valorização %],W23),"-")</f>
        <v>0.23009554140127397</v>
      </c>
      <c r="Z23" s="33">
        <f ca="1">MATCH(Y23,TbCarteiraAções[Valorização %],0)</f>
        <v>3</v>
      </c>
      <c r="AB23" s="33">
        <v>4</v>
      </c>
      <c r="AC23" s="30" t="str" cm="1">
        <f t="array" aca="1" ref="AC23" ca="1">IF(ISNA(INDEX(TbCarteiraFII[],AE23,1)),"-",INDEX(TbCarteiraFII[],AE23,1))</f>
        <v>HGRE11</v>
      </c>
      <c r="AD23" s="35">
        <f ca="1">IF(ISNUMBER(LARGE(TbCarteiraFII[Valorização %],AB23)),LARGE(TbCarteiraFII[Valorização %],AB23),"-")</f>
        <v>-3.414536020260206E-3</v>
      </c>
      <c r="AE23" s="33">
        <f ca="1">MATCH(AD23,TbCarteiraFII[Valorização %],0)</f>
        <v>3</v>
      </c>
    </row>
    <row r="24" spans="14:31" x14ac:dyDescent="0.25">
      <c r="N24" s="33">
        <v>3</v>
      </c>
      <c r="O24" s="30" t="str">
        <f t="shared" ca="1" si="2"/>
        <v>KNRI11</v>
      </c>
      <c r="P24" s="35">
        <f t="shared" ca="1" si="3"/>
        <v>0.18813666276029939</v>
      </c>
      <c r="R24" s="33">
        <v>3</v>
      </c>
      <c r="S24" s="30" t="str" cm="1">
        <f t="array" aca="1" ref="S24" ca="1">IF(ISNA(INDEX(TbCarteira[],U24,1)),"-",INDEX(TbCarteira[],U24,1))</f>
        <v>TAEE4</v>
      </c>
      <c r="T24" s="35">
        <f ca="1">IF(ISNUMBER(LARGE(TbCarteira[Valorização %],R24)),LARGE(TbCarteira[Valorização %],R24),0)</f>
        <v>0.45810397553516813</v>
      </c>
      <c r="U24" s="33">
        <f ca="1">MATCH(T24,TbCarteira[Valorização %],0)</f>
        <v>9</v>
      </c>
      <c r="W24" s="33">
        <v>3</v>
      </c>
      <c r="X24" s="30" t="str" cm="1">
        <f t="array" aca="1" ref="X24" ca="1">IF(ISNA(INDEX(TbCarteiraAções[],Z24,1)),"-",INDEX(TbCarteiraAções[],Z24,1))</f>
        <v>TAEE4</v>
      </c>
      <c r="Y24" s="35">
        <f ca="1">IF(ISNUMBER(LARGE(TbCarteiraAções[Valorização %],W24)),LARGE(TbCarteiraAções[Valorização %],W24),"-")</f>
        <v>0.45810397553516813</v>
      </c>
      <c r="Z24" s="33">
        <f ca="1">MATCH(Y24,TbCarteiraAções[Valorização %],0)</f>
        <v>5</v>
      </c>
      <c r="AB24" s="33">
        <v>3</v>
      </c>
      <c r="AC24" s="30" t="str" cm="1">
        <f t="array" aca="1" ref="AC24" ca="1">IF(ISNA(INDEX(TbCarteiraFII[],AE24,1)),"-",INDEX(TbCarteiraFII[],AE24,1))</f>
        <v>KNRI11</v>
      </c>
      <c r="AD24" s="35">
        <f ca="1">IF(ISNUMBER(LARGE(TbCarteiraFII[Valorização %],AB24)),LARGE(TbCarteiraFII[Valorização %],AB24),"-")</f>
        <v>0.18813666276029939</v>
      </c>
      <c r="AE24" s="33">
        <f ca="1">MATCH(AD24,TbCarteiraFII[Valorização %],0)</f>
        <v>4</v>
      </c>
    </row>
    <row r="25" spans="14:31" x14ac:dyDescent="0.25">
      <c r="N25" s="33">
        <v>2</v>
      </c>
      <c r="O25" s="30" t="str">
        <f t="shared" ca="1" si="2"/>
        <v>HGBS11</v>
      </c>
      <c r="P25" s="35">
        <f t="shared" ca="1" si="3"/>
        <v>0.20498731297576356</v>
      </c>
      <c r="R25" s="33">
        <v>2</v>
      </c>
      <c r="S25" s="30" t="str" cm="1">
        <f t="array" aca="1" ref="S25" ca="1">IF(ISNA(INDEX(TbCarteira[],U25,1)),"-",INDEX(TbCarteira[],U25,1))</f>
        <v>CSNA3</v>
      </c>
      <c r="T25" s="35">
        <f ca="1">IF(ISNUMBER(LARGE(TbCarteira[Valorização %],R25)),LARGE(TbCarteira[Valorização %],R25),0)</f>
        <v>0.71565836298932384</v>
      </c>
      <c r="U25" s="33">
        <f ca="1">MATCH(T25,TbCarteira[Valorização %],0)</f>
        <v>1</v>
      </c>
      <c r="W25" s="33">
        <v>2</v>
      </c>
      <c r="X25" s="30" t="str" cm="1">
        <f t="array" aca="1" ref="X25" ca="1">IF(ISNA(INDEX(TbCarteiraAções[],Z25,1)),"-",INDEX(TbCarteiraAções[],Z25,1))</f>
        <v>CSNA3</v>
      </c>
      <c r="Y25" s="35">
        <f ca="1">IF(ISNUMBER(LARGE(TbCarteiraAções[Valorização %],W25)),LARGE(TbCarteiraAções[Valorização %],W25),"-")</f>
        <v>0.71565836298932384</v>
      </c>
      <c r="Z25" s="33">
        <f ca="1">MATCH(Y25,TbCarteiraAções[Valorização %],0)</f>
        <v>1</v>
      </c>
      <c r="AB25" s="33">
        <v>2</v>
      </c>
      <c r="AC25" s="30" t="str" cm="1">
        <f t="array" aca="1" ref="AC25" ca="1">IF(ISNA(INDEX(TbCarteiraFII[],AE25,1)),"-",INDEX(TbCarteiraFII[],AE25,1))</f>
        <v>HGBS11</v>
      </c>
      <c r="AD25" s="35">
        <f ca="1">IF(ISNUMBER(LARGE(TbCarteiraFII[Valorização %],AB25)),LARGE(TbCarteiraFII[Valorização %],AB25),"-")</f>
        <v>0.20498731297576356</v>
      </c>
      <c r="AE25" s="33">
        <f ca="1">MATCH(AD25,TbCarteiraFII[Valorização %],0)</f>
        <v>1</v>
      </c>
    </row>
    <row r="26" spans="14:31" x14ac:dyDescent="0.25">
      <c r="N26" s="33">
        <v>1</v>
      </c>
      <c r="O26" s="30" t="str">
        <f t="shared" ca="1" si="2"/>
        <v>HGLG11</v>
      </c>
      <c r="P26" s="35">
        <f t="shared" ca="1" si="3"/>
        <v>0.22690476899451673</v>
      </c>
      <c r="R26" s="33">
        <v>1</v>
      </c>
      <c r="S26" s="30" t="str" cm="1">
        <f t="array" aca="1" ref="S26" ca="1">IF(ISNA(INDEX(TbCarteira[],U26,1)),"-",INDEX(TbCarteira[],U26,1))</f>
        <v>PETR4</v>
      </c>
      <c r="T26" s="35">
        <f ca="1">IF(ISNUMBER(LARGE(TbCarteira[Valorização %],R26)),LARGE(TbCarteira[Valorização %],R26),0)</f>
        <v>1.2074387662534019</v>
      </c>
      <c r="U26" s="33">
        <f ca="1">MATCH(T26,TbCarteira[Valorização %],0)</f>
        <v>4</v>
      </c>
      <c r="W26" s="33">
        <v>1</v>
      </c>
      <c r="X26" s="30" t="str" cm="1">
        <f t="array" aca="1" ref="X26" ca="1">IF(ISNA(INDEX(TbCarteiraAções[],Z26,1)),"-",INDEX(TbCarteiraAções[],Z26,1))</f>
        <v>PETR4</v>
      </c>
      <c r="Y26" s="35">
        <f ca="1">IF(ISNUMBER(LARGE(TbCarteiraAções[Valorização %],W26)),LARGE(TbCarteiraAções[Valorização %],W26),"-")</f>
        <v>1.2074387662534019</v>
      </c>
      <c r="Z26" s="33">
        <f ca="1">MATCH(Y26,TbCarteiraAções[Valorização %],0)</f>
        <v>4</v>
      </c>
      <c r="AB26" s="33">
        <v>1</v>
      </c>
      <c r="AC26" s="30" t="str" cm="1">
        <f t="array" aca="1" ref="AC26" ca="1">IF(ISNA(INDEX(TbCarteiraFII[],AE26,1)),"-",INDEX(TbCarteiraFII[],AE26,1))</f>
        <v>HGLG11</v>
      </c>
      <c r="AD26" s="35">
        <f ca="1">IF(ISNUMBER(LARGE(TbCarteiraFII[Valorização %],AB26)),LARGE(TbCarteiraFII[Valorização %],AB26),"-")</f>
        <v>0.22690476899451673</v>
      </c>
      <c r="AE26" s="33">
        <f ca="1">MATCH(AD26,TbCarteiraFII[Valorização %],0)</f>
        <v>2</v>
      </c>
    </row>
    <row r="27" spans="14:31" x14ac:dyDescent="0.25">
      <c r="AD27" s="36"/>
    </row>
  </sheetData>
  <mergeCells count="13">
    <mergeCell ref="N15:P15"/>
    <mergeCell ref="R15:U15"/>
    <mergeCell ref="W15:Z15"/>
    <mergeCell ref="AB15:AE15"/>
    <mergeCell ref="B8:C8"/>
    <mergeCell ref="B12:C12"/>
    <mergeCell ref="W2:Z2"/>
    <mergeCell ref="AB2:AE2"/>
    <mergeCell ref="N2:P2"/>
    <mergeCell ref="R2:U2"/>
    <mergeCell ref="E2:I2"/>
    <mergeCell ref="K2:L2"/>
    <mergeCell ref="B2:C2"/>
  </mergeCells>
  <conditionalFormatting sqref="G7:I8">
    <cfRule type="cellIs" dxfId="14" priority="10" operator="lessThan">
      <formula>0</formula>
    </cfRule>
  </conditionalFormatting>
  <conditionalFormatting sqref="N4:P13">
    <cfRule type="cellIs" dxfId="13" priority="9" operator="lessThan">
      <formula>0</formula>
    </cfRule>
  </conditionalFormatting>
  <conditionalFormatting sqref="R4:U13">
    <cfRule type="cellIs" dxfId="12" priority="7" operator="lessThan">
      <formula>0</formula>
    </cfRule>
  </conditionalFormatting>
  <conditionalFormatting sqref="W4:Z13">
    <cfRule type="cellIs" dxfId="11" priority="6" operator="lessThan">
      <formula>0</formula>
    </cfRule>
  </conditionalFormatting>
  <conditionalFormatting sqref="AB4:AE13">
    <cfRule type="cellIs" dxfId="10" priority="5" operator="lessThan">
      <formula>0</formula>
    </cfRule>
  </conditionalFormatting>
  <conditionalFormatting sqref="N17:P26">
    <cfRule type="cellIs" dxfId="3" priority="4" operator="lessThan">
      <formula>0</formula>
    </cfRule>
  </conditionalFormatting>
  <conditionalFormatting sqref="R17:U26">
    <cfRule type="cellIs" dxfId="2" priority="3" operator="lessThan">
      <formula>0</formula>
    </cfRule>
  </conditionalFormatting>
  <conditionalFormatting sqref="W17:Z26">
    <cfRule type="cellIs" dxfId="1" priority="2" operator="lessThan">
      <formula>0</formula>
    </cfRule>
  </conditionalFormatting>
  <conditionalFormatting sqref="AB17:AE26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74DA3-2E5E-4420-A1C0-E7995C120BA2}">
  <dimension ref="A1:L11"/>
  <sheetViews>
    <sheetView workbookViewId="0">
      <selection activeCell="I4" sqref="I4"/>
    </sheetView>
  </sheetViews>
  <sheetFormatPr defaultRowHeight="15" x14ac:dyDescent="0.25"/>
  <cols>
    <col min="1" max="1" width="8.28515625" bestFit="1" customWidth="1"/>
    <col min="2" max="2" width="9.42578125" bestFit="1" customWidth="1"/>
    <col min="3" max="3" width="10.5703125" customWidth="1"/>
    <col min="4" max="4" width="16" style="13" customWidth="1"/>
    <col min="5" max="5" width="11" customWidth="1"/>
    <col min="6" max="6" width="10.5703125" bestFit="1" customWidth="1"/>
    <col min="7" max="7" width="14" style="13" bestFit="1" customWidth="1"/>
    <col min="8" max="8" width="13.28515625" customWidth="1"/>
    <col min="9" max="9" width="15.28515625" style="14" customWidth="1"/>
    <col min="11" max="11" width="13.7109375" bestFit="1" customWidth="1"/>
    <col min="12" max="12" width="10.42578125" customWidth="1"/>
  </cols>
  <sheetData>
    <row r="1" spans="1:12" x14ac:dyDescent="0.25">
      <c r="A1" t="s">
        <v>15</v>
      </c>
      <c r="B1" t="s">
        <v>20</v>
      </c>
      <c r="C1" t="s">
        <v>49</v>
      </c>
      <c r="D1" s="13" t="s">
        <v>56</v>
      </c>
      <c r="E1" t="s">
        <v>55</v>
      </c>
      <c r="F1" t="s">
        <v>51</v>
      </c>
      <c r="G1" s="13" t="s">
        <v>57</v>
      </c>
      <c r="H1" t="s">
        <v>52</v>
      </c>
      <c r="I1" s="14" t="s">
        <v>53</v>
      </c>
      <c r="K1" s="12" t="s">
        <v>54</v>
      </c>
      <c r="L1" s="17">
        <v>43830</v>
      </c>
    </row>
    <row r="2" spans="1:12" x14ac:dyDescent="0.25">
      <c r="A2" t="s">
        <v>3</v>
      </c>
      <c r="B2" t="str">
        <f>VLOOKUP(TbCarteira[[#This Row],[Ativo]],TbAtivos[],2,FALSE)</f>
        <v>EMPRESA</v>
      </c>
      <c r="C2">
        <f>VLOOKUP(TbCarteira[[#This Row],[Ativo]],TbAtivos[],3,FALSE)</f>
        <v>16.07</v>
      </c>
      <c r="D2" s="13">
        <f ca="1">SUMIFS(TbAportes[Total],TbAportes[Ativo],TbCarteira[[#This Row],[Ativo]],TbAportes[Data],"&lt;="&amp;IF($L$1="",TODAY(),$L$1))</f>
        <v>2810</v>
      </c>
      <c r="E2">
        <f ca="1">SUMIFS(TbAportes[Qte],TbAportes[Ativo],TbCarteira[[#This Row],[Ativo]],TbAportes[Data],"&lt;="&amp;IF($L$1="",TODAY(),$L$1))</f>
        <v>300</v>
      </c>
      <c r="F2" s="13">
        <f ca="1">TbCarteira[[#This Row],[Total Aportado]]/E2</f>
        <v>9.3666666666666671</v>
      </c>
      <c r="G2" s="13">
        <f ca="1">TbCarteira[[#This Row],[Cotação]]*TbCarteira[[#This Row],[Total Qte]]</f>
        <v>4821</v>
      </c>
      <c r="H2" s="13">
        <f ca="1">TbCarteira[[#This Row],[Total Atual]]-TbCarteira[[#This Row],[Total Aportado]]</f>
        <v>2011</v>
      </c>
      <c r="I2" s="14">
        <f ca="1">(TbCarteira[[#This Row],[Total Atual]]/TbCarteira[[#This Row],[Total Aportado]])-1</f>
        <v>0.71565836298932384</v>
      </c>
    </row>
    <row r="3" spans="1:12" x14ac:dyDescent="0.25">
      <c r="A3" t="s">
        <v>5</v>
      </c>
      <c r="B3" t="str">
        <f>VLOOKUP(TbCarteira[[#This Row],[Ativo]],TbAtivos[],2,FALSE)</f>
        <v>EMPRESA</v>
      </c>
      <c r="C3">
        <f>VLOOKUP(TbCarteira[[#This Row],[Ativo]],TbAtivos[],3,FALSE)</f>
        <v>15.42</v>
      </c>
      <c r="D3" s="13">
        <f ca="1">SUMIFS(TbAportes[Total],TbAportes[Ativo],TbCarteira[[#This Row],[Ativo]],TbAportes[Data],"&lt;="&amp;IF($L$1="",TODAY(),$L$1))</f>
        <v>4027</v>
      </c>
      <c r="E3">
        <f ca="1">SUMIFS(TbAportes[Qte],TbAportes[Ativo],TbCarteira[[#This Row],[Ativo]],TbAportes[Data],"&lt;="&amp;IF($L$1="",TODAY(),$L$1))</f>
        <v>200</v>
      </c>
      <c r="F3" s="13">
        <f ca="1">TbCarteira[[#This Row],[Total Aportado]]/E3</f>
        <v>20.135000000000002</v>
      </c>
      <c r="G3" s="13">
        <f ca="1">TbCarteira[[#This Row],[Cotação]]*TbCarteira[[#This Row],[Total Qte]]</f>
        <v>3084</v>
      </c>
      <c r="H3" s="13">
        <f ca="1">TbCarteira[[#This Row],[Total Atual]]-TbCarteira[[#This Row],[Total Aportado]]</f>
        <v>-943</v>
      </c>
      <c r="I3" s="14">
        <f ca="1">(TbCarteira[[#This Row],[Total Atual]]/TbCarteira[[#This Row],[Total Aportado]])-1</f>
        <v>-0.23416935684132112</v>
      </c>
    </row>
    <row r="4" spans="1:12" x14ac:dyDescent="0.25">
      <c r="A4" t="s">
        <v>6</v>
      </c>
      <c r="B4" t="str">
        <f>VLOOKUP(TbCarteira[[#This Row],[Ativo]],TbAtivos[],2,FALSE)</f>
        <v>EMPRESA</v>
      </c>
      <c r="C4">
        <f>VLOOKUP(TbCarteira[[#This Row],[Ativo]],TbAtivos[],3,FALSE)</f>
        <v>10.3</v>
      </c>
      <c r="D4" s="13">
        <f ca="1">SUMIFS(TbAportes[Total],TbAportes[Ativo],TbCarteira[[#This Row],[Ativo]],TbAportes[Data],"&lt;="&amp;IF($L$1="",TODAY(),$L$1))</f>
        <v>2512</v>
      </c>
      <c r="E4">
        <f ca="1">SUMIFS(TbAportes[Qte],TbAportes[Ativo],TbCarteira[[#This Row],[Ativo]],TbAportes[Data],"&lt;="&amp;IF($L$1="",TODAY(),$L$1))</f>
        <v>300</v>
      </c>
      <c r="F4" s="13">
        <f ca="1">TbCarteira[[#This Row],[Total Aportado]]/E4</f>
        <v>8.3733333333333331</v>
      </c>
      <c r="G4" s="13">
        <f ca="1">TbCarteira[[#This Row],[Cotação]]*TbCarteira[[#This Row],[Total Qte]]</f>
        <v>3090</v>
      </c>
      <c r="H4" s="13">
        <f ca="1">TbCarteira[[#This Row],[Total Atual]]-TbCarteira[[#This Row],[Total Aportado]]</f>
        <v>578</v>
      </c>
      <c r="I4" s="14">
        <f ca="1">(TbCarteira[[#This Row],[Total Atual]]/TbCarteira[[#This Row],[Total Aportado]])-1</f>
        <v>0.23009554140127397</v>
      </c>
    </row>
    <row r="5" spans="1:12" x14ac:dyDescent="0.25">
      <c r="A5" t="s">
        <v>7</v>
      </c>
      <c r="B5" t="str">
        <f>VLOOKUP(TbCarteira[[#This Row],[Ativo]],TbAtivos[],2,FALSE)</f>
        <v>EMPRESA</v>
      </c>
      <c r="C5">
        <f>VLOOKUP(TbCarteira[[#This Row],[Ativo]],TbAtivos[],3,FALSE)</f>
        <v>36.5</v>
      </c>
      <c r="D5" s="13">
        <f ca="1">SUMIFS(TbAportes[Total],TbAportes[Ativo],TbCarteira[[#This Row],[Ativo]],TbAportes[Data],"&lt;="&amp;IF($L$1="",TODAY(),$L$1))</f>
        <v>6614</v>
      </c>
      <c r="E5">
        <f ca="1">SUMIFS(TbAportes[Qte],TbAportes[Ativo],TbCarteira[[#This Row],[Ativo]],TbAportes[Data],"&lt;="&amp;IF($L$1="",TODAY(),$L$1))</f>
        <v>400</v>
      </c>
      <c r="F5" s="13">
        <f ca="1">TbCarteira[[#This Row],[Total Aportado]]/E5</f>
        <v>16.535</v>
      </c>
      <c r="G5" s="13">
        <f ca="1">TbCarteira[[#This Row],[Cotação]]*TbCarteira[[#This Row],[Total Qte]]</f>
        <v>14600</v>
      </c>
      <c r="H5" s="13">
        <f ca="1">TbCarteira[[#This Row],[Total Atual]]-TbCarteira[[#This Row],[Total Aportado]]</f>
        <v>7986</v>
      </c>
      <c r="I5" s="14">
        <f ca="1">(TbCarteira[[#This Row],[Total Atual]]/TbCarteira[[#This Row],[Total Aportado]])-1</f>
        <v>1.2074387662534019</v>
      </c>
    </row>
    <row r="6" spans="1:12" x14ac:dyDescent="0.25">
      <c r="A6" t="s">
        <v>8</v>
      </c>
      <c r="B6" t="str">
        <f>VLOOKUP(TbCarteira[[#This Row],[Ativo]],TbAtivos[],2,FALSE)</f>
        <v>FII</v>
      </c>
      <c r="C6">
        <f>VLOOKUP(TbCarteira[[#This Row],[Ativo]],TbAtivos[],3,FALSE)</f>
        <v>229.53</v>
      </c>
      <c r="D6" s="13">
        <f ca="1">SUMIFS(TbAportes[Total],TbAportes[Ativo],TbCarteira[[#This Row],[Ativo]],TbAportes[Data],"&lt;="&amp;IF($L$1="",TODAY(),$L$1))</f>
        <v>1714.35</v>
      </c>
      <c r="E6">
        <f ca="1">SUMIFS(TbAportes[Qte],TbAportes[Ativo],TbCarteira[[#This Row],[Ativo]],TbAportes[Data],"&lt;="&amp;IF($L$1="",TODAY(),$L$1))</f>
        <v>9</v>
      </c>
      <c r="F6" s="13">
        <f ca="1">TbCarteira[[#This Row],[Total Aportado]]/E6</f>
        <v>190.48333333333332</v>
      </c>
      <c r="G6" s="13">
        <f ca="1">TbCarteira[[#This Row],[Cotação]]*TbCarteira[[#This Row],[Total Qte]]</f>
        <v>2065.77</v>
      </c>
      <c r="H6" s="13">
        <f ca="1">TbCarteira[[#This Row],[Total Atual]]-TbCarteira[[#This Row],[Total Aportado]]</f>
        <v>351.42000000000007</v>
      </c>
      <c r="I6" s="14">
        <f ca="1">(TbCarteira[[#This Row],[Total Atual]]/TbCarteira[[#This Row],[Total Aportado]])-1</f>
        <v>0.20498731297576356</v>
      </c>
    </row>
    <row r="7" spans="1:12" x14ac:dyDescent="0.25">
      <c r="A7" t="s">
        <v>10</v>
      </c>
      <c r="B7" t="str">
        <f>VLOOKUP(TbCarteira[[#This Row],[Ativo]],TbAtivos[],2,FALSE)</f>
        <v>FII</v>
      </c>
      <c r="C7">
        <f>VLOOKUP(TbCarteira[[#This Row],[Ativo]],TbAtivos[],3,FALSE)</f>
        <v>169.66</v>
      </c>
      <c r="D7" s="13">
        <f ca="1">SUMIFS(TbAportes[Total],TbAportes[Ativo],TbCarteira[[#This Row],[Ativo]],TbAportes[Data],"&lt;="&amp;IF($L$1="",TODAY(),$L$1))</f>
        <v>2350.81</v>
      </c>
      <c r="E7">
        <f ca="1">SUMIFS(TbAportes[Qte],TbAportes[Ativo],TbCarteira[[#This Row],[Ativo]],TbAportes[Data],"&lt;="&amp;IF($L$1="",TODAY(),$L$1))</f>
        <v>17</v>
      </c>
      <c r="F7" s="13">
        <f ca="1">TbCarteira[[#This Row],[Total Aportado]]/E7</f>
        <v>138.28294117647059</v>
      </c>
      <c r="G7" s="13">
        <f ca="1">TbCarteira[[#This Row],[Cotação]]*TbCarteira[[#This Row],[Total Qte]]</f>
        <v>2884.22</v>
      </c>
      <c r="H7" s="13">
        <f ca="1">TbCarteira[[#This Row],[Total Atual]]-TbCarteira[[#This Row],[Total Aportado]]</f>
        <v>533.40999999999985</v>
      </c>
      <c r="I7" s="14">
        <f ca="1">(TbCarteira[[#This Row],[Total Atual]]/TbCarteira[[#This Row],[Total Aportado]])-1</f>
        <v>0.22690476899451673</v>
      </c>
    </row>
    <row r="8" spans="1:12" x14ac:dyDescent="0.25">
      <c r="A8" t="s">
        <v>11</v>
      </c>
      <c r="B8" t="str">
        <f>VLOOKUP(TbCarteira[[#This Row],[Ativo]],TbAtivos[],2,FALSE)</f>
        <v>FII</v>
      </c>
      <c r="C8">
        <f>VLOOKUP(TbCarteira[[#This Row],[Ativo]],TbAtivos[],3,FALSE)</f>
        <v>128.81</v>
      </c>
      <c r="D8" s="13">
        <f ca="1">SUMIFS(TbAportes[Total],TbAportes[Ativo],TbCarteira[[#This Row],[Ativo]],TbAportes[Data],"&lt;="&amp;IF($L$1="",TODAY(),$L$1))</f>
        <v>1938.77</v>
      </c>
      <c r="E8">
        <f ca="1">SUMIFS(TbAportes[Qte],TbAportes[Ativo],TbCarteira[[#This Row],[Ativo]],TbAportes[Data],"&lt;="&amp;IF($L$1="",TODAY(),$L$1))</f>
        <v>15</v>
      </c>
      <c r="F8" s="13">
        <f ca="1">TbCarteira[[#This Row],[Total Aportado]]/E8</f>
        <v>129.25133333333332</v>
      </c>
      <c r="G8" s="13">
        <f ca="1">TbCarteira[[#This Row],[Cotação]]*TbCarteira[[#This Row],[Total Qte]]</f>
        <v>1932.15</v>
      </c>
      <c r="H8" s="13">
        <f ca="1">TbCarteira[[#This Row],[Total Atual]]-TbCarteira[[#This Row],[Total Aportado]]</f>
        <v>-6.6199999999998909</v>
      </c>
      <c r="I8" s="14">
        <f ca="1">(TbCarteira[[#This Row],[Total Atual]]/TbCarteira[[#This Row],[Total Aportado]])-1</f>
        <v>-3.414536020260206E-3</v>
      </c>
    </row>
    <row r="9" spans="1:12" x14ac:dyDescent="0.25">
      <c r="A9" t="s">
        <v>12</v>
      </c>
      <c r="B9" t="str">
        <f>VLOOKUP(TbCarteira[[#This Row],[Ativo]],TbAtivos[],2,FALSE)</f>
        <v>FII</v>
      </c>
      <c r="C9">
        <f>VLOOKUP(TbCarteira[[#This Row],[Ativo]],TbAtivos[],3,FALSE)</f>
        <v>164.75</v>
      </c>
      <c r="D9" s="13">
        <f ca="1">SUMIFS(TbAportes[Total],TbAportes[Ativo],TbCarteira[[#This Row],[Ativo]],TbAportes[Data],"&lt;="&amp;IF($L$1="",TODAY(),$L$1))</f>
        <v>1109.3</v>
      </c>
      <c r="E9">
        <f ca="1">SUMIFS(TbAportes[Qte],TbAportes[Ativo],TbCarteira[[#This Row],[Ativo]],TbAportes[Data],"&lt;="&amp;IF($L$1="",TODAY(),$L$1))</f>
        <v>8</v>
      </c>
      <c r="F9" s="13">
        <f ca="1">TbCarteira[[#This Row],[Total Aportado]]/E9</f>
        <v>138.66249999999999</v>
      </c>
      <c r="G9" s="13">
        <f ca="1">TbCarteira[[#This Row],[Cotação]]*TbCarteira[[#This Row],[Total Qte]]</f>
        <v>1318</v>
      </c>
      <c r="H9" s="13">
        <f ca="1">TbCarteira[[#This Row],[Total Atual]]-TbCarteira[[#This Row],[Total Aportado]]</f>
        <v>208.70000000000005</v>
      </c>
      <c r="I9" s="14">
        <f ca="1">(TbCarteira[[#This Row],[Total Atual]]/TbCarteira[[#This Row],[Total Aportado]])-1</f>
        <v>0.18813666276029939</v>
      </c>
    </row>
    <row r="10" spans="1:12" x14ac:dyDescent="0.25">
      <c r="A10" t="s">
        <v>13</v>
      </c>
      <c r="B10" t="str">
        <f>VLOOKUP(TbCarteira[[#This Row],[Ativo]],TbAtivos[],2,FALSE)</f>
        <v>EMPRESA</v>
      </c>
      <c r="C10">
        <f>VLOOKUP(TbCarteira[[#This Row],[Ativo]],TbAtivos[],3,FALSE)</f>
        <v>11.92</v>
      </c>
      <c r="D10" s="13">
        <f ca="1">SUMIFS(TbAportes[Total],TbAportes[Ativo],TbCarteira[[#This Row],[Ativo]],TbAportes[Data],"&lt;="&amp;IF($L$1="",TODAY(),$L$1))</f>
        <v>1635</v>
      </c>
      <c r="E10">
        <f ca="1">SUMIFS(TbAportes[Qte],TbAportes[Ativo],TbCarteira[[#This Row],[Ativo]],TbAportes[Data],"&lt;="&amp;IF($L$1="",TODAY(),$L$1))</f>
        <v>200</v>
      </c>
      <c r="F10" s="13">
        <f ca="1">TbCarteira[[#This Row],[Total Aportado]]/E10</f>
        <v>8.1750000000000007</v>
      </c>
      <c r="G10" s="13">
        <f ca="1">TbCarteira[[#This Row],[Cotação]]*TbCarteira[[#This Row],[Total Qte]]</f>
        <v>2384</v>
      </c>
      <c r="H10" s="13">
        <f ca="1">TbCarteira[[#This Row],[Total Atual]]-TbCarteira[[#This Row],[Total Aportado]]</f>
        <v>749</v>
      </c>
      <c r="I10" s="14">
        <f ca="1">(TbCarteira[[#This Row],[Total Atual]]/TbCarteira[[#This Row],[Total Aportado]])-1</f>
        <v>0.45810397553516813</v>
      </c>
    </row>
    <row r="11" spans="1:12" x14ac:dyDescent="0.25">
      <c r="A11" t="s">
        <v>19</v>
      </c>
      <c r="D11" s="13">
        <f ca="1">SUBTOTAL(109,TbCarteira[Total Aportado])</f>
        <v>24711.23</v>
      </c>
      <c r="G11" s="13">
        <f ca="1">SUBTOTAL(109,TbCarteira[Total Atual])</f>
        <v>36179.14</v>
      </c>
      <c r="H11" s="13">
        <f ca="1">SUBTOTAL(109,TbCarteira[Valorização])</f>
        <v>11467.91</v>
      </c>
      <c r="I11" s="15"/>
    </row>
  </sheetData>
  <conditionalFormatting sqref="H2:H10">
    <cfRule type="cellIs" dxfId="9" priority="2" operator="lessThan">
      <formula>0</formula>
    </cfRule>
  </conditionalFormatting>
  <conditionalFormatting sqref="I2:I10">
    <cfRule type="cellIs" dxfId="8" priority="1" operator="lessThan">
      <formula>0</formula>
    </cfRule>
  </conditionalFormatting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AC0AC-CD7F-4809-8F82-8891FCC3D40B}">
  <dimension ref="A1:L7"/>
  <sheetViews>
    <sheetView workbookViewId="0">
      <selection activeCell="E6" sqref="E6"/>
    </sheetView>
  </sheetViews>
  <sheetFormatPr defaultRowHeight="15" x14ac:dyDescent="0.25"/>
  <cols>
    <col min="1" max="1" width="8.28515625" bestFit="1" customWidth="1"/>
    <col min="2" max="2" width="9.42578125" bestFit="1" customWidth="1"/>
    <col min="3" max="3" width="10.5703125" customWidth="1"/>
    <col min="4" max="4" width="16" style="13" customWidth="1"/>
    <col min="5" max="5" width="11" customWidth="1"/>
    <col min="6" max="6" width="10.5703125" bestFit="1" customWidth="1"/>
    <col min="7" max="7" width="14" style="13" bestFit="1" customWidth="1"/>
    <col min="8" max="8" width="13.28515625" customWidth="1"/>
    <col min="9" max="9" width="15.28515625" style="14" customWidth="1"/>
    <col min="11" max="11" width="13.7109375" bestFit="1" customWidth="1"/>
    <col min="12" max="12" width="10.42578125" customWidth="1"/>
  </cols>
  <sheetData>
    <row r="1" spans="1:12" x14ac:dyDescent="0.25">
      <c r="A1" t="s">
        <v>15</v>
      </c>
      <c r="B1" t="s">
        <v>20</v>
      </c>
      <c r="C1" t="s">
        <v>49</v>
      </c>
      <c r="D1" s="13" t="s">
        <v>56</v>
      </c>
      <c r="E1" t="s">
        <v>55</v>
      </c>
      <c r="F1" t="s">
        <v>51</v>
      </c>
      <c r="G1" s="13" t="s">
        <v>57</v>
      </c>
      <c r="H1" t="s">
        <v>52</v>
      </c>
      <c r="I1" s="14" t="s">
        <v>53</v>
      </c>
      <c r="K1" s="12" t="s">
        <v>54</v>
      </c>
      <c r="L1" s="17">
        <v>43830</v>
      </c>
    </row>
    <row r="2" spans="1:12" x14ac:dyDescent="0.25">
      <c r="A2" t="s">
        <v>3</v>
      </c>
      <c r="B2" t="str">
        <f>VLOOKUP(TbCarteiraAções[[#This Row],[Ativo]],TbAtivos[],2,FALSE)</f>
        <v>EMPRESA</v>
      </c>
      <c r="C2">
        <f>VLOOKUP(TbCarteiraAções[[#This Row],[Ativo]],TbAtivos[],3,FALSE)</f>
        <v>16.07</v>
      </c>
      <c r="D2" s="13">
        <f ca="1">SUMIFS(TbAportes[Total],TbAportes[Ativo],TbCarteiraAções[[#This Row],[Ativo]],TbAportes[Data],"&lt;="&amp;IF($L$1="",TODAY(),$L$1))</f>
        <v>2810</v>
      </c>
      <c r="E2">
        <f ca="1">SUMIFS(TbAportes[Qte],TbAportes[Ativo],TbCarteiraAções[[#This Row],[Ativo]],TbAportes[Data],"&lt;="&amp;IF($L$1="",TODAY(),$L$1))</f>
        <v>300</v>
      </c>
      <c r="F2" s="13">
        <f ca="1">TbCarteiraAções[[#This Row],[Total Aportado]]/E2</f>
        <v>9.3666666666666671</v>
      </c>
      <c r="G2" s="13">
        <f ca="1">TbCarteiraAções[[#This Row],[Cotação]]*TbCarteiraAções[[#This Row],[Total Qte]]</f>
        <v>4821</v>
      </c>
      <c r="H2" s="13">
        <f ca="1">TbCarteiraAções[[#This Row],[Total Atual]]-TbCarteiraAções[[#This Row],[Total Aportado]]</f>
        <v>2011</v>
      </c>
      <c r="I2" s="14">
        <f ca="1">(TbCarteiraAções[[#This Row],[Total Atual]]/TbCarteiraAções[[#This Row],[Total Aportado]])-1</f>
        <v>0.71565836298932384</v>
      </c>
    </row>
    <row r="3" spans="1:12" x14ac:dyDescent="0.25">
      <c r="A3" t="s">
        <v>5</v>
      </c>
      <c r="B3" t="str">
        <f>VLOOKUP(TbCarteiraAções[[#This Row],[Ativo]],TbAtivos[],2,FALSE)</f>
        <v>EMPRESA</v>
      </c>
      <c r="C3">
        <f>VLOOKUP(TbCarteiraAções[[#This Row],[Ativo]],TbAtivos[],3,FALSE)</f>
        <v>15.42</v>
      </c>
      <c r="D3" s="13">
        <f ca="1">SUMIFS(TbAportes[Total],TbAportes[Ativo],TbCarteiraAções[[#This Row],[Ativo]],TbAportes[Data],"&lt;="&amp;IF($L$1="",TODAY(),$L$1))</f>
        <v>4027</v>
      </c>
      <c r="E3">
        <f ca="1">SUMIFS(TbAportes[Qte],TbAportes[Ativo],TbCarteiraAções[[#This Row],[Ativo]],TbAportes[Data],"&lt;="&amp;IF($L$1="",TODAY(),$L$1))</f>
        <v>200</v>
      </c>
      <c r="F3" s="13">
        <f ca="1">TbCarteiraAções[[#This Row],[Total Aportado]]/E3</f>
        <v>20.135000000000002</v>
      </c>
      <c r="G3" s="13">
        <f ca="1">TbCarteiraAções[[#This Row],[Cotação]]*TbCarteiraAções[[#This Row],[Total Qte]]</f>
        <v>3084</v>
      </c>
      <c r="H3" s="13">
        <f ca="1">TbCarteiraAções[[#This Row],[Total Atual]]-TbCarteiraAções[[#This Row],[Total Aportado]]</f>
        <v>-943</v>
      </c>
      <c r="I3" s="14">
        <f ca="1">(TbCarteiraAções[[#This Row],[Total Atual]]/TbCarteiraAções[[#This Row],[Total Aportado]])-1</f>
        <v>-0.23416935684132112</v>
      </c>
    </row>
    <row r="4" spans="1:12" x14ac:dyDescent="0.25">
      <c r="A4" t="s">
        <v>6</v>
      </c>
      <c r="B4" t="str">
        <f>VLOOKUP(TbCarteiraAções[[#This Row],[Ativo]],TbAtivos[],2,FALSE)</f>
        <v>EMPRESA</v>
      </c>
      <c r="C4">
        <f>VLOOKUP(TbCarteiraAções[[#This Row],[Ativo]],TbAtivos[],3,FALSE)</f>
        <v>10.3</v>
      </c>
      <c r="D4" s="13">
        <f ca="1">SUMIFS(TbAportes[Total],TbAportes[Ativo],TbCarteiraAções[[#This Row],[Ativo]],TbAportes[Data],"&lt;="&amp;IF($L$1="",TODAY(),$L$1))</f>
        <v>2512</v>
      </c>
      <c r="E4">
        <f ca="1">SUMIFS(TbAportes[Qte],TbAportes[Ativo],TbCarteiraAções[[#This Row],[Ativo]],TbAportes[Data],"&lt;="&amp;IF($L$1="",TODAY(),$L$1))</f>
        <v>300</v>
      </c>
      <c r="F4" s="13">
        <f ca="1">TbCarteiraAções[[#This Row],[Total Aportado]]/E4</f>
        <v>8.3733333333333331</v>
      </c>
      <c r="G4" s="13">
        <f ca="1">TbCarteiraAções[[#This Row],[Cotação]]*TbCarteiraAções[[#This Row],[Total Qte]]</f>
        <v>3090</v>
      </c>
      <c r="H4" s="13">
        <f ca="1">TbCarteiraAções[[#This Row],[Total Atual]]-TbCarteiraAções[[#This Row],[Total Aportado]]</f>
        <v>578</v>
      </c>
      <c r="I4" s="14">
        <f ca="1">(TbCarteiraAções[[#This Row],[Total Atual]]/TbCarteiraAções[[#This Row],[Total Aportado]])-1</f>
        <v>0.23009554140127397</v>
      </c>
    </row>
    <row r="5" spans="1:12" x14ac:dyDescent="0.25">
      <c r="A5" t="s">
        <v>7</v>
      </c>
      <c r="B5" t="str">
        <f>VLOOKUP(TbCarteiraAções[[#This Row],[Ativo]],TbAtivos[],2,FALSE)</f>
        <v>EMPRESA</v>
      </c>
      <c r="C5">
        <f>VLOOKUP(TbCarteiraAções[[#This Row],[Ativo]],TbAtivos[],3,FALSE)</f>
        <v>36.5</v>
      </c>
      <c r="D5" s="13">
        <f ca="1">SUMIFS(TbAportes[Total],TbAportes[Ativo],TbCarteiraAções[[#This Row],[Ativo]],TbAportes[Data],"&lt;="&amp;IF($L$1="",TODAY(),$L$1))</f>
        <v>6614</v>
      </c>
      <c r="E5">
        <f ca="1">SUMIFS(TbAportes[Qte],TbAportes[Ativo],TbCarteiraAções[[#This Row],[Ativo]],TbAportes[Data],"&lt;="&amp;IF($L$1="",TODAY(),$L$1))</f>
        <v>400</v>
      </c>
      <c r="F5" s="13">
        <f ca="1">TbCarteiraAções[[#This Row],[Total Aportado]]/E5</f>
        <v>16.535</v>
      </c>
      <c r="G5" s="13">
        <f ca="1">TbCarteiraAções[[#This Row],[Cotação]]*TbCarteiraAções[[#This Row],[Total Qte]]</f>
        <v>14600</v>
      </c>
      <c r="H5" s="13">
        <f ca="1">TbCarteiraAções[[#This Row],[Total Atual]]-TbCarteiraAções[[#This Row],[Total Aportado]]</f>
        <v>7986</v>
      </c>
      <c r="I5" s="14">
        <f ca="1">(TbCarteiraAções[[#This Row],[Total Atual]]/TbCarteiraAções[[#This Row],[Total Aportado]])-1</f>
        <v>1.2074387662534019</v>
      </c>
    </row>
    <row r="6" spans="1:12" x14ac:dyDescent="0.25">
      <c r="A6" t="s">
        <v>13</v>
      </c>
      <c r="B6" t="str">
        <f>VLOOKUP(TbCarteiraAções[[#This Row],[Ativo]],TbAtivos[],2,FALSE)</f>
        <v>EMPRESA</v>
      </c>
      <c r="C6">
        <f>VLOOKUP(TbCarteiraAções[[#This Row],[Ativo]],TbAtivos[],3,FALSE)</f>
        <v>11.92</v>
      </c>
      <c r="D6" s="13">
        <f ca="1">SUMIFS(TbAportes[Total],TbAportes[Ativo],TbCarteiraAções[[#This Row],[Ativo]],TbAportes[Data],"&lt;="&amp;IF($L$1="",TODAY(),$L$1))</f>
        <v>1635</v>
      </c>
      <c r="E6">
        <f ca="1">SUMIFS(TbAportes[Qte],TbAportes[Ativo],TbCarteiraAções[[#This Row],[Ativo]],TbAportes[Data],"&lt;="&amp;IF($L$1="",TODAY(),$L$1))</f>
        <v>200</v>
      </c>
      <c r="F6" s="13">
        <f ca="1">TbCarteiraAções[[#This Row],[Total Aportado]]/E6</f>
        <v>8.1750000000000007</v>
      </c>
      <c r="G6" s="13">
        <f ca="1">TbCarteiraAções[[#This Row],[Cotação]]*TbCarteiraAções[[#This Row],[Total Qte]]</f>
        <v>2384</v>
      </c>
      <c r="H6" s="13">
        <f ca="1">TbCarteiraAções[[#This Row],[Total Atual]]-TbCarteiraAções[[#This Row],[Total Aportado]]</f>
        <v>749</v>
      </c>
      <c r="I6" s="14">
        <f ca="1">(TbCarteiraAções[[#This Row],[Total Atual]]/TbCarteiraAções[[#This Row],[Total Aportado]])-1</f>
        <v>0.45810397553516813</v>
      </c>
    </row>
    <row r="7" spans="1:12" x14ac:dyDescent="0.25">
      <c r="A7" t="s">
        <v>19</v>
      </c>
      <c r="D7" s="13">
        <f ca="1">SUBTOTAL(109,TbCarteiraAções[Total Aportado])</f>
        <v>17598</v>
      </c>
      <c r="G7" s="13">
        <f ca="1">SUBTOTAL(109,TbCarteiraAções[Total Atual])</f>
        <v>27979</v>
      </c>
      <c r="H7" s="13">
        <f ca="1">SUBTOTAL(109,TbCarteiraAções[Valorização])</f>
        <v>10381</v>
      </c>
      <c r="I7" s="15"/>
    </row>
  </sheetData>
  <conditionalFormatting sqref="H2:H6">
    <cfRule type="cellIs" dxfId="7" priority="2" operator="lessThan">
      <formula>0</formula>
    </cfRule>
  </conditionalFormatting>
  <conditionalFormatting sqref="I2:I6">
    <cfRule type="cellIs" dxfId="6" priority="1" operator="lessThan">
      <formula>0</formula>
    </cfRule>
  </conditionalFormatting>
  <pageMargins left="0.7" right="0.7" top="0.75" bottom="0.75" header="0.3" footer="0.3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F5D28-7ACE-4C09-A57A-240DC794E912}">
  <dimension ref="A1:L6"/>
  <sheetViews>
    <sheetView workbookViewId="0">
      <selection activeCell="G5" sqref="G5"/>
    </sheetView>
  </sheetViews>
  <sheetFormatPr defaultRowHeight="15" x14ac:dyDescent="0.25"/>
  <cols>
    <col min="1" max="1" width="8.28515625" bestFit="1" customWidth="1"/>
    <col min="2" max="2" width="9.42578125" bestFit="1" customWidth="1"/>
    <col min="3" max="3" width="10.5703125" customWidth="1"/>
    <col min="4" max="4" width="16" style="13" customWidth="1"/>
    <col min="5" max="5" width="11" customWidth="1"/>
    <col min="6" max="6" width="10.5703125" bestFit="1" customWidth="1"/>
    <col min="7" max="7" width="14" style="13" bestFit="1" customWidth="1"/>
    <col min="8" max="8" width="13.28515625" customWidth="1"/>
    <col min="9" max="9" width="15.28515625" style="14" customWidth="1"/>
    <col min="11" max="11" width="13.7109375" bestFit="1" customWidth="1"/>
    <col min="12" max="12" width="10.42578125" customWidth="1"/>
  </cols>
  <sheetData>
    <row r="1" spans="1:12" x14ac:dyDescent="0.25">
      <c r="A1" t="s">
        <v>15</v>
      </c>
      <c r="B1" t="s">
        <v>20</v>
      </c>
      <c r="C1" t="s">
        <v>49</v>
      </c>
      <c r="D1" s="13" t="s">
        <v>56</v>
      </c>
      <c r="E1" t="s">
        <v>55</v>
      </c>
      <c r="F1" t="s">
        <v>51</v>
      </c>
      <c r="G1" s="13" t="s">
        <v>57</v>
      </c>
      <c r="H1" t="s">
        <v>52</v>
      </c>
      <c r="I1" s="14" t="s">
        <v>53</v>
      </c>
      <c r="K1" s="12" t="s">
        <v>54</v>
      </c>
      <c r="L1" s="17">
        <v>43830</v>
      </c>
    </row>
    <row r="2" spans="1:12" x14ac:dyDescent="0.25">
      <c r="A2" t="s">
        <v>8</v>
      </c>
      <c r="B2" t="str">
        <f>VLOOKUP(TbCarteiraFII[[#This Row],[Ativo]],TbAtivos[],2,FALSE)</f>
        <v>FII</v>
      </c>
      <c r="C2">
        <f>VLOOKUP(TbCarteiraFII[[#This Row],[Ativo]],TbAtivos[],3,FALSE)</f>
        <v>229.53</v>
      </c>
      <c r="D2" s="13">
        <f ca="1">SUMIFS(TbAportes[Total],TbAportes[Ativo],TbCarteiraFII[[#This Row],[Ativo]],TbAportes[Data],"&lt;="&amp;IF($L$1="",TODAY(),$L$1))</f>
        <v>1714.35</v>
      </c>
      <c r="E2">
        <f ca="1">SUMIFS(TbAportes[Qte],TbAportes[Ativo],TbCarteiraFII[[#This Row],[Ativo]],TbAportes[Data],"&lt;="&amp;IF($L$1="",TODAY(),$L$1))</f>
        <v>9</v>
      </c>
      <c r="F2" s="13">
        <f ca="1">TbCarteiraFII[[#This Row],[Total Aportado]]/E2</f>
        <v>190.48333333333332</v>
      </c>
      <c r="G2" s="13">
        <f ca="1">TbCarteiraFII[[#This Row],[Cotação]]*TbCarteiraFII[[#This Row],[Total Qte]]</f>
        <v>2065.77</v>
      </c>
      <c r="H2" s="13">
        <f ca="1">TbCarteiraFII[[#This Row],[Total Atual]]-TbCarteiraFII[[#This Row],[Total Aportado]]</f>
        <v>351.42000000000007</v>
      </c>
      <c r="I2" s="14">
        <f ca="1">(TbCarteiraFII[[#This Row],[Total Atual]]/TbCarteiraFII[[#This Row],[Total Aportado]])-1</f>
        <v>0.20498731297576356</v>
      </c>
    </row>
    <row r="3" spans="1:12" x14ac:dyDescent="0.25">
      <c r="A3" t="s">
        <v>10</v>
      </c>
      <c r="B3" t="str">
        <f>VLOOKUP(TbCarteiraFII[[#This Row],[Ativo]],TbAtivos[],2,FALSE)</f>
        <v>FII</v>
      </c>
      <c r="C3">
        <f>VLOOKUP(TbCarteiraFII[[#This Row],[Ativo]],TbAtivos[],3,FALSE)</f>
        <v>169.66</v>
      </c>
      <c r="D3" s="13">
        <f ca="1">SUMIFS(TbAportes[Total],TbAportes[Ativo],TbCarteiraFII[[#This Row],[Ativo]],TbAportes[Data],"&lt;="&amp;IF($L$1="",TODAY(),$L$1))</f>
        <v>2350.81</v>
      </c>
      <c r="E3">
        <f ca="1">SUMIFS(TbAportes[Qte],TbAportes[Ativo],TbCarteiraFII[[#This Row],[Ativo]],TbAportes[Data],"&lt;="&amp;IF($L$1="",TODAY(),$L$1))</f>
        <v>17</v>
      </c>
      <c r="F3" s="13">
        <f ca="1">TbCarteiraFII[[#This Row],[Total Aportado]]/E3</f>
        <v>138.28294117647059</v>
      </c>
      <c r="G3" s="13">
        <f ca="1">TbCarteiraFII[[#This Row],[Cotação]]*TbCarteiraFII[[#This Row],[Total Qte]]</f>
        <v>2884.22</v>
      </c>
      <c r="H3" s="13">
        <f ca="1">TbCarteiraFII[[#This Row],[Total Atual]]-TbCarteiraFII[[#This Row],[Total Aportado]]</f>
        <v>533.40999999999985</v>
      </c>
      <c r="I3" s="14">
        <f ca="1">(TbCarteiraFII[[#This Row],[Total Atual]]/TbCarteiraFII[[#This Row],[Total Aportado]])-1</f>
        <v>0.22690476899451673</v>
      </c>
    </row>
    <row r="4" spans="1:12" x14ac:dyDescent="0.25">
      <c r="A4" t="s">
        <v>11</v>
      </c>
      <c r="B4" t="str">
        <f>VLOOKUP(TbCarteiraFII[[#This Row],[Ativo]],TbAtivos[],2,FALSE)</f>
        <v>FII</v>
      </c>
      <c r="C4">
        <f>VLOOKUP(TbCarteiraFII[[#This Row],[Ativo]],TbAtivos[],3,FALSE)</f>
        <v>128.81</v>
      </c>
      <c r="D4" s="13">
        <f ca="1">SUMIFS(TbAportes[Total],TbAportes[Ativo],TbCarteiraFII[[#This Row],[Ativo]],TbAportes[Data],"&lt;="&amp;IF($L$1="",TODAY(),$L$1))</f>
        <v>1938.77</v>
      </c>
      <c r="E4">
        <f ca="1">SUMIFS(TbAportes[Qte],TbAportes[Ativo],TbCarteiraFII[[#This Row],[Ativo]],TbAportes[Data],"&lt;="&amp;IF($L$1="",TODAY(),$L$1))</f>
        <v>15</v>
      </c>
      <c r="F4" s="13">
        <f ca="1">TbCarteiraFII[[#This Row],[Total Aportado]]/E4</f>
        <v>129.25133333333332</v>
      </c>
      <c r="G4" s="13">
        <f ca="1">TbCarteiraFII[[#This Row],[Cotação]]*TbCarteiraFII[[#This Row],[Total Qte]]</f>
        <v>1932.15</v>
      </c>
      <c r="H4" s="13">
        <f ca="1">TbCarteiraFII[[#This Row],[Total Atual]]-TbCarteiraFII[[#This Row],[Total Aportado]]</f>
        <v>-6.6199999999998909</v>
      </c>
      <c r="I4" s="14">
        <f ca="1">(TbCarteiraFII[[#This Row],[Total Atual]]/TbCarteiraFII[[#This Row],[Total Aportado]])-1</f>
        <v>-3.414536020260206E-3</v>
      </c>
    </row>
    <row r="5" spans="1:12" x14ac:dyDescent="0.25">
      <c r="A5" t="s">
        <v>12</v>
      </c>
      <c r="B5" t="str">
        <f>VLOOKUP(TbCarteiraFII[[#This Row],[Ativo]],TbAtivos[],2,FALSE)</f>
        <v>FII</v>
      </c>
      <c r="C5">
        <f>VLOOKUP(TbCarteiraFII[[#This Row],[Ativo]],TbAtivos[],3,FALSE)</f>
        <v>164.75</v>
      </c>
      <c r="D5" s="13">
        <f ca="1">SUMIFS(TbAportes[Total],TbAportes[Ativo],TbCarteiraFII[[#This Row],[Ativo]],TbAportes[Data],"&lt;="&amp;IF($L$1="",TODAY(),$L$1))</f>
        <v>1109.3</v>
      </c>
      <c r="E5">
        <f ca="1">SUMIFS(TbAportes[Qte],TbAportes[Ativo],TbCarteiraFII[[#This Row],[Ativo]],TbAportes[Data],"&lt;="&amp;IF($L$1="",TODAY(),$L$1))</f>
        <v>8</v>
      </c>
      <c r="F5" s="13">
        <f ca="1">TbCarteiraFII[[#This Row],[Total Aportado]]/E5</f>
        <v>138.66249999999999</v>
      </c>
      <c r="G5" s="13">
        <f ca="1">TbCarteiraFII[[#This Row],[Cotação]]*TbCarteiraFII[[#This Row],[Total Qte]]</f>
        <v>1318</v>
      </c>
      <c r="H5" s="13">
        <f ca="1">TbCarteiraFII[[#This Row],[Total Atual]]-TbCarteiraFII[[#This Row],[Total Aportado]]</f>
        <v>208.70000000000005</v>
      </c>
      <c r="I5" s="14">
        <f ca="1">(TbCarteiraFII[[#This Row],[Total Atual]]/TbCarteiraFII[[#This Row],[Total Aportado]])-1</f>
        <v>0.18813666276029939</v>
      </c>
    </row>
    <row r="6" spans="1:12" x14ac:dyDescent="0.25">
      <c r="A6" t="s">
        <v>19</v>
      </c>
      <c r="D6" s="13">
        <f ca="1">SUBTOTAL(109,TbCarteiraFII[Total Aportado])</f>
        <v>7113.2300000000005</v>
      </c>
      <c r="G6" s="13">
        <f ca="1">SUBTOTAL(109,TbCarteiraFII[Total Atual])</f>
        <v>8200.14</v>
      </c>
      <c r="H6" s="13">
        <f ca="1">SUBTOTAL(109,TbCarteiraFII[Valorização])</f>
        <v>1086.9100000000001</v>
      </c>
      <c r="I6" s="15"/>
    </row>
  </sheetData>
  <conditionalFormatting sqref="H2:H5">
    <cfRule type="cellIs" dxfId="5" priority="2" operator="lessThan">
      <formula>0</formula>
    </cfRule>
  </conditionalFormatting>
  <conditionalFormatting sqref="I2:I5">
    <cfRule type="cellIs" dxfId="4" priority="1" operator="lessThan">
      <formula>0</formula>
    </cfRule>
  </conditionalFormatting>
  <pageMargins left="0.7" right="0.7" top="0.75" bottom="0.75" header="0.3" footer="0.3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6109B-75FF-4550-8C40-A9A76D319D0D}">
  <dimension ref="A3:N18"/>
  <sheetViews>
    <sheetView workbookViewId="0">
      <selection activeCell="G13" sqref="G13"/>
    </sheetView>
  </sheetViews>
  <sheetFormatPr defaultRowHeight="15" x14ac:dyDescent="0.25"/>
  <cols>
    <col min="1" max="1" width="19.7109375" bestFit="1" customWidth="1"/>
    <col min="2" max="2" width="16.85546875" bestFit="1" customWidth="1"/>
    <col min="3" max="13" width="7.7109375" bestFit="1" customWidth="1"/>
    <col min="14" max="14" width="11.28515625" bestFit="1" customWidth="1"/>
  </cols>
  <sheetData>
    <row r="3" spans="1:14" x14ac:dyDescent="0.25">
      <c r="A3" s="8" t="s">
        <v>48</v>
      </c>
      <c r="B3" s="8" t="s">
        <v>31</v>
      </c>
    </row>
    <row r="4" spans="1:14" x14ac:dyDescent="0.25">
      <c r="A4" s="8" t="s">
        <v>29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  <c r="K4" t="s">
        <v>41</v>
      </c>
      <c r="L4" t="s">
        <v>42</v>
      </c>
      <c r="M4" t="s">
        <v>45</v>
      </c>
      <c r="N4" t="s">
        <v>30</v>
      </c>
    </row>
    <row r="5" spans="1:14" x14ac:dyDescent="0.25">
      <c r="A5" s="9" t="s">
        <v>4</v>
      </c>
      <c r="B5" s="11">
        <v>39.479999999999997</v>
      </c>
      <c r="C5" s="11">
        <v>61</v>
      </c>
      <c r="D5" s="11">
        <v>65.430000000000007</v>
      </c>
      <c r="E5" s="11">
        <v>163.66</v>
      </c>
      <c r="F5" s="11">
        <v>162.75</v>
      </c>
      <c r="G5" s="11">
        <v>156.13999999999999</v>
      </c>
      <c r="H5" s="11">
        <v>166</v>
      </c>
      <c r="I5" s="11">
        <v>162.75</v>
      </c>
      <c r="J5" s="11">
        <v>156.13999999999999</v>
      </c>
      <c r="K5" s="11">
        <v>166</v>
      </c>
      <c r="L5" s="11">
        <v>484.89</v>
      </c>
      <c r="M5" s="11">
        <v>162.75</v>
      </c>
      <c r="N5" s="11">
        <v>1946.99</v>
      </c>
    </row>
    <row r="6" spans="1:14" x14ac:dyDescent="0.25">
      <c r="A6" s="10" t="s">
        <v>3</v>
      </c>
      <c r="B6" s="11"/>
      <c r="C6" s="11"/>
      <c r="D6" s="11"/>
      <c r="E6" s="11"/>
      <c r="F6" s="11"/>
      <c r="G6" s="11"/>
      <c r="H6" s="11"/>
      <c r="I6" s="11"/>
      <c r="J6" s="11"/>
      <c r="K6" s="11">
        <v>166</v>
      </c>
      <c r="L6" s="11"/>
      <c r="M6" s="11"/>
      <c r="N6" s="11">
        <v>166</v>
      </c>
    </row>
    <row r="7" spans="1:14" x14ac:dyDescent="0.25">
      <c r="A7" s="10" t="s">
        <v>5</v>
      </c>
      <c r="B7" s="11"/>
      <c r="C7" s="11"/>
      <c r="D7" s="11"/>
      <c r="E7" s="11">
        <v>163.66</v>
      </c>
      <c r="F7" s="11"/>
      <c r="G7" s="11"/>
      <c r="H7" s="11"/>
      <c r="I7" s="11"/>
      <c r="J7" s="11">
        <v>156.13999999999999</v>
      </c>
      <c r="K7" s="11"/>
      <c r="L7" s="11"/>
      <c r="M7" s="11"/>
      <c r="N7" s="11">
        <v>319.79999999999995</v>
      </c>
    </row>
    <row r="8" spans="1:14" x14ac:dyDescent="0.25">
      <c r="A8" s="10" t="s">
        <v>6</v>
      </c>
      <c r="B8" s="11">
        <v>39.479999999999997</v>
      </c>
      <c r="C8" s="11"/>
      <c r="D8" s="11">
        <v>65.430000000000007</v>
      </c>
      <c r="E8" s="11"/>
      <c r="F8" s="11">
        <v>162.75</v>
      </c>
      <c r="G8" s="11"/>
      <c r="H8" s="11">
        <v>166</v>
      </c>
      <c r="I8" s="11"/>
      <c r="J8" s="11"/>
      <c r="K8" s="11"/>
      <c r="L8" s="11">
        <v>328.75</v>
      </c>
      <c r="M8" s="11"/>
      <c r="N8" s="11">
        <v>762.41</v>
      </c>
    </row>
    <row r="9" spans="1:14" x14ac:dyDescent="0.25">
      <c r="A9" s="10" t="s">
        <v>7</v>
      </c>
      <c r="B9" s="11"/>
      <c r="C9" s="11">
        <v>61</v>
      </c>
      <c r="D9" s="11"/>
      <c r="E9" s="11"/>
      <c r="F9" s="11"/>
      <c r="G9" s="11"/>
      <c r="H9" s="11"/>
      <c r="I9" s="11">
        <v>162.75</v>
      </c>
      <c r="J9" s="11"/>
      <c r="K9" s="11"/>
      <c r="L9" s="11"/>
      <c r="M9" s="11"/>
      <c r="N9" s="11">
        <v>223.75</v>
      </c>
    </row>
    <row r="10" spans="1:14" x14ac:dyDescent="0.25">
      <c r="A10" s="10" t="s">
        <v>13</v>
      </c>
      <c r="B10" s="11"/>
      <c r="C10" s="11"/>
      <c r="D10" s="11"/>
      <c r="E10" s="11"/>
      <c r="F10" s="11"/>
      <c r="G10" s="11">
        <v>156.13999999999999</v>
      </c>
      <c r="H10" s="11"/>
      <c r="I10" s="11"/>
      <c r="J10" s="11"/>
      <c r="K10" s="11"/>
      <c r="L10" s="11">
        <v>156.13999999999999</v>
      </c>
      <c r="M10" s="11">
        <v>162.75</v>
      </c>
      <c r="N10" s="11">
        <v>475.03</v>
      </c>
    </row>
    <row r="11" spans="1:14" x14ac:dyDescent="0.25">
      <c r="A11" s="9" t="s">
        <v>9</v>
      </c>
      <c r="B11" s="11">
        <v>217.66</v>
      </c>
      <c r="C11" s="11">
        <v>228.62</v>
      </c>
      <c r="D11" s="11">
        <v>358.32</v>
      </c>
      <c r="E11" s="11">
        <v>308.72000000000003</v>
      </c>
      <c r="F11" s="11">
        <v>433.18</v>
      </c>
      <c r="G11" s="11">
        <v>358.32</v>
      </c>
      <c r="H11" s="11">
        <v>308.72000000000003</v>
      </c>
      <c r="I11" s="11">
        <v>433.18</v>
      </c>
      <c r="J11" s="11">
        <v>357.29</v>
      </c>
      <c r="K11" s="11">
        <v>308.72000000000003</v>
      </c>
      <c r="L11" s="11">
        <v>1100.22</v>
      </c>
      <c r="M11" s="11">
        <v>433.18</v>
      </c>
      <c r="N11" s="11">
        <v>4846.1299999999992</v>
      </c>
    </row>
    <row r="12" spans="1:14" x14ac:dyDescent="0.25">
      <c r="A12" s="10" t="s">
        <v>8</v>
      </c>
      <c r="B12" s="11">
        <v>63</v>
      </c>
      <c r="C12" s="11">
        <v>75.709999999999994</v>
      </c>
      <c r="D12" s="11">
        <v>61</v>
      </c>
      <c r="E12" s="11">
        <v>37.44</v>
      </c>
      <c r="F12" s="11">
        <v>61</v>
      </c>
      <c r="G12" s="11">
        <v>61</v>
      </c>
      <c r="H12" s="11">
        <v>37.44</v>
      </c>
      <c r="I12" s="11">
        <v>61</v>
      </c>
      <c r="J12" s="11">
        <v>59.97</v>
      </c>
      <c r="K12" s="11">
        <v>37.44</v>
      </c>
      <c r="L12" s="11">
        <v>159.44</v>
      </c>
      <c r="M12" s="11">
        <v>61</v>
      </c>
      <c r="N12" s="11">
        <v>775.44</v>
      </c>
    </row>
    <row r="13" spans="1:14" x14ac:dyDescent="0.25">
      <c r="A13" s="10" t="s">
        <v>10</v>
      </c>
      <c r="B13" s="11">
        <v>81</v>
      </c>
      <c r="C13" s="11">
        <v>39.36</v>
      </c>
      <c r="D13" s="11">
        <v>99</v>
      </c>
      <c r="E13" s="11">
        <v>52.02</v>
      </c>
      <c r="F13" s="11">
        <v>180.6</v>
      </c>
      <c r="G13" s="11">
        <v>99</v>
      </c>
      <c r="H13" s="11">
        <v>52.02</v>
      </c>
      <c r="I13" s="11">
        <v>180.6</v>
      </c>
      <c r="J13" s="11">
        <v>99</v>
      </c>
      <c r="K13" s="11">
        <v>52.02</v>
      </c>
      <c r="L13" s="11">
        <v>331.62</v>
      </c>
      <c r="M13" s="11">
        <v>180.6</v>
      </c>
      <c r="N13" s="11">
        <v>1446.84</v>
      </c>
    </row>
    <row r="14" spans="1:14" x14ac:dyDescent="0.25">
      <c r="A14" s="10" t="s">
        <v>11</v>
      </c>
      <c r="B14" s="11">
        <v>38.89</v>
      </c>
      <c r="C14" s="11">
        <v>51.8</v>
      </c>
      <c r="D14" s="11">
        <v>99.9</v>
      </c>
      <c r="E14" s="11">
        <v>42.14</v>
      </c>
      <c r="F14" s="11">
        <v>38.4</v>
      </c>
      <c r="G14" s="11">
        <v>99.9</v>
      </c>
      <c r="H14" s="11">
        <v>42.14</v>
      </c>
      <c r="I14" s="11">
        <v>38.4</v>
      </c>
      <c r="J14" s="11">
        <v>99.9</v>
      </c>
      <c r="K14" s="11">
        <v>42.14</v>
      </c>
      <c r="L14" s="11">
        <v>180.44</v>
      </c>
      <c r="M14" s="11">
        <v>38.4</v>
      </c>
      <c r="N14" s="11">
        <v>812.44999999999993</v>
      </c>
    </row>
    <row r="15" spans="1:14" x14ac:dyDescent="0.25">
      <c r="A15" s="10" t="s">
        <v>12</v>
      </c>
      <c r="B15" s="11">
        <v>34.770000000000003</v>
      </c>
      <c r="C15" s="11">
        <v>61.75</v>
      </c>
      <c r="D15" s="11">
        <v>98.42</v>
      </c>
      <c r="E15" s="11">
        <v>177.12</v>
      </c>
      <c r="F15" s="11">
        <v>153.18</v>
      </c>
      <c r="G15" s="11">
        <v>98.42</v>
      </c>
      <c r="H15" s="11">
        <v>177.12</v>
      </c>
      <c r="I15" s="11">
        <v>153.18</v>
      </c>
      <c r="J15" s="11">
        <v>98.42</v>
      </c>
      <c r="K15" s="11">
        <v>177.12</v>
      </c>
      <c r="L15" s="11">
        <v>428.72</v>
      </c>
      <c r="M15" s="11">
        <v>153.18</v>
      </c>
      <c r="N15" s="11">
        <v>1811.4</v>
      </c>
    </row>
    <row r="16" spans="1:14" x14ac:dyDescent="0.25">
      <c r="A16" s="9" t="s">
        <v>47</v>
      </c>
      <c r="B16" s="11"/>
      <c r="C16" s="11"/>
      <c r="D16" s="11">
        <v>0</v>
      </c>
      <c r="E16" s="11"/>
      <c r="F16" s="11"/>
      <c r="G16" s="11"/>
      <c r="H16" s="11"/>
      <c r="I16" s="11"/>
      <c r="J16" s="11"/>
      <c r="K16" s="11"/>
      <c r="L16" s="11"/>
      <c r="M16" s="11"/>
      <c r="N16" s="11">
        <v>0</v>
      </c>
    </row>
    <row r="17" spans="1:14" x14ac:dyDescent="0.25">
      <c r="A17" s="10" t="s">
        <v>28</v>
      </c>
      <c r="B17" s="11"/>
      <c r="C17" s="11"/>
      <c r="D17" s="11">
        <v>0</v>
      </c>
      <c r="E17" s="11"/>
      <c r="F17" s="11"/>
      <c r="G17" s="11"/>
      <c r="H17" s="11"/>
      <c r="I17" s="11"/>
      <c r="J17" s="11"/>
      <c r="K17" s="11"/>
      <c r="L17" s="11"/>
      <c r="M17" s="11"/>
      <c r="N17" s="11">
        <v>0</v>
      </c>
    </row>
    <row r="18" spans="1:14" x14ac:dyDescent="0.25">
      <c r="A18" s="9" t="s">
        <v>30</v>
      </c>
      <c r="B18" s="11">
        <v>257.14</v>
      </c>
      <c r="C18" s="11">
        <v>289.62</v>
      </c>
      <c r="D18" s="11">
        <v>423.75000000000006</v>
      </c>
      <c r="E18" s="11">
        <v>472.38</v>
      </c>
      <c r="F18" s="11">
        <v>595.93000000000006</v>
      </c>
      <c r="G18" s="11">
        <v>514.45999999999992</v>
      </c>
      <c r="H18" s="11">
        <v>474.72</v>
      </c>
      <c r="I18" s="11">
        <v>595.93000000000006</v>
      </c>
      <c r="J18" s="11">
        <v>513.42999999999995</v>
      </c>
      <c r="K18" s="11">
        <v>474.72</v>
      </c>
      <c r="L18" s="11">
        <v>1585.11</v>
      </c>
      <c r="M18" s="11">
        <v>595.93000000000006</v>
      </c>
      <c r="N18" s="11">
        <v>6793.1200000000008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56283-6064-43DB-8385-85FA7EAFACE5}">
  <dimension ref="A3:P16"/>
  <sheetViews>
    <sheetView workbookViewId="0">
      <selection activeCell="P13" sqref="P13"/>
    </sheetView>
  </sheetViews>
  <sheetFormatPr defaultRowHeight="15" x14ac:dyDescent="0.25"/>
  <cols>
    <col min="1" max="1" width="13.42578125" bestFit="1" customWidth="1"/>
    <col min="2" max="2" width="16.85546875" bestFit="1" customWidth="1"/>
    <col min="3" max="15" width="7.7109375" bestFit="1" customWidth="1"/>
    <col min="16" max="16" width="11.28515625" bestFit="1" customWidth="1"/>
    <col min="17" max="17" width="6.85546875" bestFit="1" customWidth="1"/>
    <col min="18" max="18" width="9.85546875" bestFit="1" customWidth="1"/>
    <col min="19" max="19" width="11.28515625" bestFit="1" customWidth="1"/>
  </cols>
  <sheetData>
    <row r="3" spans="1:16" x14ac:dyDescent="0.25">
      <c r="A3" s="8" t="s">
        <v>46</v>
      </c>
      <c r="B3" s="8" t="s">
        <v>31</v>
      </c>
    </row>
    <row r="4" spans="1:16" x14ac:dyDescent="0.25">
      <c r="A4" s="8" t="s">
        <v>29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  <c r="K4" t="s">
        <v>41</v>
      </c>
      <c r="L4" t="s">
        <v>42</v>
      </c>
      <c r="M4" t="s">
        <v>43</v>
      </c>
      <c r="N4" t="s">
        <v>44</v>
      </c>
      <c r="O4" t="s">
        <v>45</v>
      </c>
      <c r="P4" t="s">
        <v>30</v>
      </c>
    </row>
    <row r="5" spans="1:16" x14ac:dyDescent="0.25">
      <c r="A5" s="9" t="s">
        <v>4</v>
      </c>
      <c r="B5" s="11">
        <v>1594</v>
      </c>
      <c r="C5" s="11">
        <v>1644</v>
      </c>
      <c r="D5" s="11">
        <v>788</v>
      </c>
      <c r="E5" s="11">
        <v>1985</v>
      </c>
      <c r="F5" s="11"/>
      <c r="G5" s="11">
        <v>1721</v>
      </c>
      <c r="H5" s="11">
        <v>1591</v>
      </c>
      <c r="I5" s="11">
        <v>2042</v>
      </c>
      <c r="J5" s="11">
        <v>1765.9999999999998</v>
      </c>
      <c r="K5" s="11">
        <v>1021.9999999999999</v>
      </c>
      <c r="L5" s="11">
        <v>1613</v>
      </c>
      <c r="M5" s="11">
        <v>962.99999999999989</v>
      </c>
      <c r="N5" s="11">
        <v>869</v>
      </c>
      <c r="O5" s="11"/>
      <c r="P5" s="11">
        <v>17598</v>
      </c>
    </row>
    <row r="6" spans="1:16" x14ac:dyDescent="0.25">
      <c r="A6" s="10" t="s">
        <v>3</v>
      </c>
      <c r="B6" s="11">
        <v>833</v>
      </c>
      <c r="C6" s="11"/>
      <c r="D6" s="11"/>
      <c r="E6" s="11"/>
      <c r="F6" s="11"/>
      <c r="G6" s="11">
        <v>954.99999999999989</v>
      </c>
      <c r="H6" s="11"/>
      <c r="I6" s="11"/>
      <c r="J6" s="11"/>
      <c r="K6" s="11">
        <v>1021.9999999999999</v>
      </c>
      <c r="L6" s="11"/>
      <c r="M6" s="11"/>
      <c r="N6" s="11"/>
      <c r="O6" s="11"/>
      <c r="P6" s="11">
        <v>2810</v>
      </c>
    </row>
    <row r="7" spans="1:16" x14ac:dyDescent="0.25">
      <c r="A7" s="10" t="s">
        <v>5</v>
      </c>
      <c r="B7" s="11"/>
      <c r="C7" s="11"/>
      <c r="D7" s="11"/>
      <c r="E7" s="11">
        <v>1985</v>
      </c>
      <c r="F7" s="11"/>
      <c r="G7" s="11"/>
      <c r="H7" s="11"/>
      <c r="I7" s="11">
        <v>2042</v>
      </c>
      <c r="J7" s="11"/>
      <c r="K7" s="11"/>
      <c r="L7" s="11"/>
      <c r="M7" s="11"/>
      <c r="N7" s="11"/>
      <c r="O7" s="11"/>
      <c r="P7" s="11">
        <v>4027</v>
      </c>
    </row>
    <row r="8" spans="1:16" x14ac:dyDescent="0.25">
      <c r="A8" s="10" t="s">
        <v>6</v>
      </c>
      <c r="B8" s="11">
        <v>761</v>
      </c>
      <c r="C8" s="11"/>
      <c r="D8" s="11">
        <v>788</v>
      </c>
      <c r="E8" s="11"/>
      <c r="F8" s="11"/>
      <c r="G8" s="11"/>
      <c r="H8" s="11"/>
      <c r="I8" s="11"/>
      <c r="J8" s="11"/>
      <c r="K8" s="11"/>
      <c r="L8" s="11"/>
      <c r="M8" s="11">
        <v>962.99999999999989</v>
      </c>
      <c r="N8" s="11"/>
      <c r="O8" s="11"/>
      <c r="P8" s="11">
        <v>2512</v>
      </c>
    </row>
    <row r="9" spans="1:16" x14ac:dyDescent="0.25">
      <c r="A9" s="10" t="s">
        <v>7</v>
      </c>
      <c r="B9" s="11"/>
      <c r="C9" s="11">
        <v>1644</v>
      </c>
      <c r="D9" s="11"/>
      <c r="E9" s="11"/>
      <c r="F9" s="11"/>
      <c r="G9" s="11"/>
      <c r="H9" s="11">
        <v>1591</v>
      </c>
      <c r="I9" s="11"/>
      <c r="J9" s="11">
        <v>1765.9999999999998</v>
      </c>
      <c r="K9" s="11"/>
      <c r="L9" s="11">
        <v>1613</v>
      </c>
      <c r="M9" s="11"/>
      <c r="N9" s="11"/>
      <c r="O9" s="11"/>
      <c r="P9" s="11">
        <v>6614</v>
      </c>
    </row>
    <row r="10" spans="1:16" x14ac:dyDescent="0.25">
      <c r="A10" s="10" t="s">
        <v>13</v>
      </c>
      <c r="B10" s="11"/>
      <c r="C10" s="11"/>
      <c r="D10" s="11"/>
      <c r="E10" s="11"/>
      <c r="F10" s="11"/>
      <c r="G10" s="11">
        <v>766</v>
      </c>
      <c r="H10" s="11"/>
      <c r="I10" s="11"/>
      <c r="J10" s="11"/>
      <c r="K10" s="11"/>
      <c r="L10" s="11"/>
      <c r="M10" s="11"/>
      <c r="N10" s="11">
        <v>869</v>
      </c>
      <c r="O10" s="11"/>
      <c r="P10" s="11">
        <v>1635</v>
      </c>
    </row>
    <row r="11" spans="1:16" x14ac:dyDescent="0.25">
      <c r="A11" s="9" t="s">
        <v>9</v>
      </c>
      <c r="B11" s="11"/>
      <c r="C11" s="11">
        <v>704.9</v>
      </c>
      <c r="D11" s="11">
        <v>991.52</v>
      </c>
      <c r="E11" s="11">
        <v>551.46</v>
      </c>
      <c r="F11" s="11">
        <v>635.83000000000004</v>
      </c>
      <c r="G11" s="11"/>
      <c r="H11" s="11">
        <v>679.05</v>
      </c>
      <c r="I11" s="11">
        <v>191.74</v>
      </c>
      <c r="J11" s="11">
        <v>972.57999999999993</v>
      </c>
      <c r="K11" s="11">
        <v>268.2</v>
      </c>
      <c r="L11" s="11">
        <v>971.15</v>
      </c>
      <c r="M11" s="11">
        <v>430.65000000000003</v>
      </c>
      <c r="N11" s="11">
        <v>716.15</v>
      </c>
      <c r="O11" s="11">
        <v>2079.8000000000002</v>
      </c>
      <c r="P11" s="11">
        <v>9193.0299999999988</v>
      </c>
    </row>
    <row r="12" spans="1:16" x14ac:dyDescent="0.25">
      <c r="A12" s="10" t="s">
        <v>8</v>
      </c>
      <c r="B12" s="11"/>
      <c r="C12" s="11"/>
      <c r="D12" s="11"/>
      <c r="E12" s="11">
        <v>551.46</v>
      </c>
      <c r="F12" s="11"/>
      <c r="G12" s="11"/>
      <c r="H12" s="11"/>
      <c r="I12" s="11">
        <v>191.74</v>
      </c>
      <c r="J12" s="11"/>
      <c r="K12" s="11"/>
      <c r="L12" s="11">
        <v>971.15</v>
      </c>
      <c r="M12" s="11"/>
      <c r="N12" s="11"/>
      <c r="O12" s="11"/>
      <c r="P12" s="11">
        <v>1714.35</v>
      </c>
    </row>
    <row r="13" spans="1:16" x14ac:dyDescent="0.25">
      <c r="A13" s="10" t="s">
        <v>10</v>
      </c>
      <c r="B13" s="11"/>
      <c r="C13" s="11">
        <v>704.9</v>
      </c>
      <c r="D13" s="11"/>
      <c r="E13" s="11"/>
      <c r="F13" s="11">
        <v>242.68</v>
      </c>
      <c r="G13" s="11"/>
      <c r="H13" s="11"/>
      <c r="I13" s="11"/>
      <c r="J13" s="11">
        <v>972.57999999999993</v>
      </c>
      <c r="K13" s="11"/>
      <c r="L13" s="11"/>
      <c r="M13" s="11">
        <v>430.65000000000003</v>
      </c>
      <c r="N13" s="11"/>
      <c r="O13" s="11"/>
      <c r="P13" s="11">
        <v>2350.81</v>
      </c>
    </row>
    <row r="14" spans="1:16" x14ac:dyDescent="0.25">
      <c r="A14" s="10" t="s">
        <v>11</v>
      </c>
      <c r="B14" s="11"/>
      <c r="C14" s="11"/>
      <c r="D14" s="11">
        <v>991.52</v>
      </c>
      <c r="E14" s="11"/>
      <c r="F14" s="11"/>
      <c r="G14" s="11"/>
      <c r="H14" s="11">
        <v>679.05</v>
      </c>
      <c r="I14" s="11"/>
      <c r="J14" s="11"/>
      <c r="K14" s="11">
        <v>268.2</v>
      </c>
      <c r="L14" s="11"/>
      <c r="M14" s="11"/>
      <c r="N14" s="11"/>
      <c r="O14" s="11">
        <v>553.79999999999995</v>
      </c>
      <c r="P14" s="11">
        <v>2492.5699999999997</v>
      </c>
    </row>
    <row r="15" spans="1:16" x14ac:dyDescent="0.25">
      <c r="A15" s="10" t="s">
        <v>12</v>
      </c>
      <c r="B15" s="11"/>
      <c r="C15" s="11"/>
      <c r="D15" s="11"/>
      <c r="E15" s="11"/>
      <c r="F15" s="11">
        <v>393.15000000000003</v>
      </c>
      <c r="G15" s="11"/>
      <c r="H15" s="11"/>
      <c r="I15" s="11"/>
      <c r="J15" s="11"/>
      <c r="K15" s="11"/>
      <c r="L15" s="11"/>
      <c r="M15" s="11"/>
      <c r="N15" s="11">
        <v>716.15</v>
      </c>
      <c r="O15" s="11">
        <v>1526</v>
      </c>
      <c r="P15" s="11">
        <v>2635.3</v>
      </c>
    </row>
    <row r="16" spans="1:16" x14ac:dyDescent="0.25">
      <c r="A16" s="9" t="s">
        <v>30</v>
      </c>
      <c r="B16" s="11">
        <v>1594</v>
      </c>
      <c r="C16" s="11">
        <v>2348.9</v>
      </c>
      <c r="D16" s="11">
        <v>1779.52</v>
      </c>
      <c r="E16" s="11">
        <v>2536.46</v>
      </c>
      <c r="F16" s="11">
        <v>635.83000000000004</v>
      </c>
      <c r="G16" s="11">
        <v>1721</v>
      </c>
      <c r="H16" s="11">
        <v>2270.0500000000002</v>
      </c>
      <c r="I16" s="11">
        <v>2233.7399999999998</v>
      </c>
      <c r="J16" s="11">
        <v>2738.58</v>
      </c>
      <c r="K16" s="11">
        <v>1290.1999999999998</v>
      </c>
      <c r="L16" s="11">
        <v>2584.15</v>
      </c>
      <c r="M16" s="11">
        <v>1393.6499999999999</v>
      </c>
      <c r="N16" s="11">
        <v>1585.15</v>
      </c>
      <c r="O16" s="11">
        <v>2079.8000000000002</v>
      </c>
      <c r="P16" s="11">
        <v>26791.03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5AC23-8DB9-44A4-9D34-19EEB9AC1E29}">
  <dimension ref="A1:J29"/>
  <sheetViews>
    <sheetView workbookViewId="0">
      <selection activeCell="C2" sqref="C2"/>
    </sheetView>
  </sheetViews>
  <sheetFormatPr defaultRowHeight="20.100000000000001" customHeight="1" x14ac:dyDescent="0.25"/>
  <cols>
    <col min="1" max="1" width="10.42578125" style="2" bestFit="1" customWidth="1"/>
    <col min="2" max="3" width="9.140625" style="3"/>
    <col min="4" max="4" width="16.5703125" style="1" customWidth="1"/>
    <col min="5" max="5" width="10" style="1" customWidth="1"/>
    <col min="6" max="6" width="12.7109375" style="1" customWidth="1"/>
    <col min="7" max="9" width="9.140625" style="3"/>
    <col min="10" max="10" width="11" style="3" customWidth="1"/>
    <col min="11" max="16384" width="9.140625" style="3"/>
  </cols>
  <sheetData>
    <row r="1" spans="1:10" ht="20.100000000000001" customHeight="1" x14ac:dyDescent="0.25">
      <c r="A1" s="2" t="s">
        <v>14</v>
      </c>
      <c r="B1" s="3" t="s">
        <v>15</v>
      </c>
      <c r="C1" s="3" t="s">
        <v>16</v>
      </c>
      <c r="D1" s="1" t="s">
        <v>17</v>
      </c>
      <c r="E1" s="1" t="s">
        <v>18</v>
      </c>
      <c r="F1" s="1" t="s">
        <v>19</v>
      </c>
      <c r="G1" s="3" t="s">
        <v>20</v>
      </c>
      <c r="H1" s="3" t="s">
        <v>21</v>
      </c>
      <c r="I1" s="3" t="s">
        <v>22</v>
      </c>
      <c r="J1" s="3" t="s">
        <v>23</v>
      </c>
    </row>
    <row r="2" spans="1:10" ht="20.100000000000001" customHeight="1" x14ac:dyDescent="0.25">
      <c r="A2" s="2">
        <v>43444</v>
      </c>
      <c r="B2" s="3" t="s">
        <v>6</v>
      </c>
      <c r="C2" s="3">
        <v>100</v>
      </c>
      <c r="D2" s="1">
        <v>7.51</v>
      </c>
      <c r="E2" s="1">
        <v>10</v>
      </c>
      <c r="F2" s="4">
        <f>TbAportes[[#This Row],[Qte]]*TbAportes[[#This Row],[Valor unitário]]+TbAportes[[#This Row],[Custo]]</f>
        <v>761</v>
      </c>
      <c r="G2" s="5" t="str">
        <f>VLOOKUP(TbAportes[[#This Row],[Ativo]],TbAtivos[],2,FALSE)</f>
        <v>EMPRESA</v>
      </c>
      <c r="H2" s="5">
        <f>YEAR(TbAportes[[#This Row],[Data]])</f>
        <v>2018</v>
      </c>
      <c r="I2" s="5">
        <f>MONTH(TbAportes[[#This Row],[Data]])</f>
        <v>12</v>
      </c>
      <c r="J2" s="6" t="str">
        <f>_xlfn.CONCAT(TbAportes[[#This Row],[Ano]],"/",IF(TbAportes[[#This Row],[Mês]]&lt;10,_xlfn.CONCAT(0,TbAportes[[#This Row],[Mês]]),TbAportes[[#This Row],[Mês]]))</f>
        <v>2018/12</v>
      </c>
    </row>
    <row r="3" spans="1:10" ht="20.100000000000001" customHeight="1" x14ac:dyDescent="0.25">
      <c r="A3" s="2">
        <v>43444</v>
      </c>
      <c r="B3" s="3" t="s">
        <v>3</v>
      </c>
      <c r="C3" s="3">
        <v>100</v>
      </c>
      <c r="D3" s="1">
        <v>8.23</v>
      </c>
      <c r="E3" s="1">
        <v>10</v>
      </c>
      <c r="F3" s="4">
        <f>TbAportes[[#This Row],[Qte]]*TbAportes[[#This Row],[Valor unitário]]+TbAportes[[#This Row],[Custo]]</f>
        <v>833</v>
      </c>
      <c r="G3" s="5" t="str">
        <f>VLOOKUP(TbAportes[[#This Row],[Ativo]],TbAtivos[],2,FALSE)</f>
        <v>EMPRESA</v>
      </c>
      <c r="H3" s="5">
        <f>YEAR(TbAportes[[#This Row],[Data]])</f>
        <v>2018</v>
      </c>
      <c r="I3" s="5">
        <f>MONTH(TbAportes[[#This Row],[Data]])</f>
        <v>12</v>
      </c>
      <c r="J3" s="6" t="str">
        <f>_xlfn.CONCAT(TbAportes[[#This Row],[Ano]],"/",IF(TbAportes[[#This Row],[Mês]]&lt;10,_xlfn.CONCAT(0,TbAportes[[#This Row],[Mês]]),TbAportes[[#This Row],[Mês]]))</f>
        <v>2018/12</v>
      </c>
    </row>
    <row r="4" spans="1:10" ht="20.100000000000001" customHeight="1" x14ac:dyDescent="0.25">
      <c r="A4" s="2">
        <v>43475</v>
      </c>
      <c r="B4" s="3" t="s">
        <v>7</v>
      </c>
      <c r="C4" s="3">
        <v>100</v>
      </c>
      <c r="D4" s="1">
        <v>16.34</v>
      </c>
      <c r="E4" s="1">
        <v>10</v>
      </c>
      <c r="F4" s="4">
        <f>TbAportes[[#This Row],[Qte]]*TbAportes[[#This Row],[Valor unitário]]+TbAportes[[#This Row],[Custo]]</f>
        <v>1644</v>
      </c>
      <c r="G4" s="5" t="str">
        <f>VLOOKUP(TbAportes[[#This Row],[Ativo]],TbAtivos[],2,FALSE)</f>
        <v>EMPRESA</v>
      </c>
      <c r="H4" s="5">
        <f>YEAR(TbAportes[[#This Row],[Data]])</f>
        <v>2019</v>
      </c>
      <c r="I4" s="5">
        <f>MONTH(TbAportes[[#This Row],[Data]])</f>
        <v>1</v>
      </c>
      <c r="J4" s="6" t="str">
        <f>_xlfn.CONCAT(TbAportes[[#This Row],[Ano]],"/",IF(TbAportes[[#This Row],[Mês]]&lt;10,_xlfn.CONCAT(0,TbAportes[[#This Row],[Mês]]),TbAportes[[#This Row],[Mês]]))</f>
        <v>2019/01</v>
      </c>
    </row>
    <row r="5" spans="1:10" ht="20.100000000000001" customHeight="1" x14ac:dyDescent="0.25">
      <c r="A5" s="2">
        <v>43475</v>
      </c>
      <c r="B5" s="3" t="s">
        <v>10</v>
      </c>
      <c r="C5" s="3">
        <v>5</v>
      </c>
      <c r="D5" s="1">
        <v>140.97999999999999</v>
      </c>
      <c r="E5" s="1">
        <v>0</v>
      </c>
      <c r="F5" s="4">
        <f>TbAportes[[#This Row],[Qte]]*TbAportes[[#This Row],[Valor unitário]]+TbAportes[[#This Row],[Custo]]</f>
        <v>704.9</v>
      </c>
      <c r="G5" s="5" t="str">
        <f>VLOOKUP(TbAportes[[#This Row],[Ativo]],TbAtivos[],2,FALSE)</f>
        <v>FII</v>
      </c>
      <c r="H5" s="5">
        <f>YEAR(TbAportes[[#This Row],[Data]])</f>
        <v>2019</v>
      </c>
      <c r="I5" s="5">
        <f>MONTH(TbAportes[[#This Row],[Data]])</f>
        <v>1</v>
      </c>
      <c r="J5" s="6" t="str">
        <f>_xlfn.CONCAT(TbAportes[[#This Row],[Ano]],"/",IF(TbAportes[[#This Row],[Mês]]&lt;10,_xlfn.CONCAT(0,TbAportes[[#This Row],[Mês]]),TbAportes[[#This Row],[Mês]]))</f>
        <v>2019/01</v>
      </c>
    </row>
    <row r="6" spans="1:10" ht="20.100000000000001" customHeight="1" x14ac:dyDescent="0.25">
      <c r="A6" s="2">
        <v>43506</v>
      </c>
      <c r="B6" s="3" t="s">
        <v>6</v>
      </c>
      <c r="C6" s="3">
        <v>100</v>
      </c>
      <c r="D6" s="1">
        <v>7.78</v>
      </c>
      <c r="E6" s="1">
        <v>10</v>
      </c>
      <c r="F6" s="4">
        <f>TbAportes[[#This Row],[Qte]]*TbAportes[[#This Row],[Valor unitário]]+TbAportes[[#This Row],[Custo]]</f>
        <v>788</v>
      </c>
      <c r="G6" s="5" t="str">
        <f>VLOOKUP(TbAportes[[#This Row],[Ativo]],TbAtivos[],2,FALSE)</f>
        <v>EMPRESA</v>
      </c>
      <c r="H6" s="5">
        <f>YEAR(TbAportes[[#This Row],[Data]])</f>
        <v>2019</v>
      </c>
      <c r="I6" s="5">
        <f>MONTH(TbAportes[[#This Row],[Data]])</f>
        <v>2</v>
      </c>
      <c r="J6" s="6" t="str">
        <f>_xlfn.CONCAT(TbAportes[[#This Row],[Ano]],"/",IF(TbAportes[[#This Row],[Mês]]&lt;10,_xlfn.CONCAT(0,TbAportes[[#This Row],[Mês]]),TbAportes[[#This Row],[Mês]]))</f>
        <v>2019/02</v>
      </c>
    </row>
    <row r="7" spans="1:10" ht="20.100000000000001" customHeight="1" x14ac:dyDescent="0.25">
      <c r="A7" s="2">
        <v>43506</v>
      </c>
      <c r="B7" s="3" t="s">
        <v>11</v>
      </c>
      <c r="C7" s="3">
        <v>8</v>
      </c>
      <c r="D7" s="1">
        <v>123.94</v>
      </c>
      <c r="E7" s="1">
        <v>0</v>
      </c>
      <c r="F7" s="4">
        <f>TbAportes[[#This Row],[Qte]]*TbAportes[[#This Row],[Valor unitário]]+TbAportes[[#This Row],[Custo]]</f>
        <v>991.52</v>
      </c>
      <c r="G7" s="5" t="str">
        <f>VLOOKUP(TbAportes[[#This Row],[Ativo]],TbAtivos[],2,FALSE)</f>
        <v>FII</v>
      </c>
      <c r="H7" s="5">
        <f>YEAR(TbAportes[[#This Row],[Data]])</f>
        <v>2019</v>
      </c>
      <c r="I7" s="5">
        <f>MONTH(TbAportes[[#This Row],[Data]])</f>
        <v>2</v>
      </c>
      <c r="J7" s="6" t="str">
        <f>_xlfn.CONCAT(TbAportes[[#This Row],[Ano]],"/",IF(TbAportes[[#This Row],[Mês]]&lt;10,_xlfn.CONCAT(0,TbAportes[[#This Row],[Mês]]),TbAportes[[#This Row],[Mês]]))</f>
        <v>2019/02</v>
      </c>
    </row>
    <row r="8" spans="1:10" ht="20.100000000000001" customHeight="1" x14ac:dyDescent="0.25">
      <c r="A8" s="2">
        <v>43534</v>
      </c>
      <c r="B8" s="3" t="s">
        <v>5</v>
      </c>
      <c r="C8" s="3">
        <v>100</v>
      </c>
      <c r="D8" s="1">
        <v>19.75</v>
      </c>
      <c r="E8" s="1">
        <v>10</v>
      </c>
      <c r="F8" s="4">
        <f>TbAportes[[#This Row],[Qte]]*TbAportes[[#This Row],[Valor unitário]]+TbAportes[[#This Row],[Custo]]</f>
        <v>1985</v>
      </c>
      <c r="G8" s="5" t="str">
        <f>VLOOKUP(TbAportes[[#This Row],[Ativo]],TbAtivos[],2,FALSE)</f>
        <v>EMPRESA</v>
      </c>
      <c r="H8" s="5">
        <f>YEAR(TbAportes[[#This Row],[Data]])</f>
        <v>2019</v>
      </c>
      <c r="I8" s="5">
        <f>MONTH(TbAportes[[#This Row],[Data]])</f>
        <v>3</v>
      </c>
      <c r="J8" s="6" t="str">
        <f>_xlfn.CONCAT(TbAportes[[#This Row],[Ano]],"/",IF(TbAportes[[#This Row],[Mês]]&lt;10,_xlfn.CONCAT(0,TbAportes[[#This Row],[Mês]]),TbAportes[[#This Row],[Mês]]))</f>
        <v>2019/03</v>
      </c>
    </row>
    <row r="9" spans="1:10" ht="20.100000000000001" customHeight="1" x14ac:dyDescent="0.25">
      <c r="A9" s="2">
        <v>43534</v>
      </c>
      <c r="B9" s="3" t="s">
        <v>8</v>
      </c>
      <c r="C9" s="3">
        <v>3</v>
      </c>
      <c r="D9" s="1">
        <v>183.82</v>
      </c>
      <c r="E9" s="1">
        <v>0</v>
      </c>
      <c r="F9" s="4">
        <f>TbAportes[[#This Row],[Qte]]*TbAportes[[#This Row],[Valor unitário]]+TbAportes[[#This Row],[Custo]]</f>
        <v>551.46</v>
      </c>
      <c r="G9" s="5" t="str">
        <f>VLOOKUP(TbAportes[[#This Row],[Ativo]],TbAtivos[],2,FALSE)</f>
        <v>FII</v>
      </c>
      <c r="H9" s="5">
        <f>YEAR(TbAportes[[#This Row],[Data]])</f>
        <v>2019</v>
      </c>
      <c r="I9" s="5">
        <f>MONTH(TbAportes[[#This Row],[Data]])</f>
        <v>3</v>
      </c>
      <c r="J9" s="6" t="str">
        <f>_xlfn.CONCAT(TbAportes[[#This Row],[Ano]],"/",IF(TbAportes[[#This Row],[Mês]]&lt;10,_xlfn.CONCAT(0,TbAportes[[#This Row],[Mês]]),TbAportes[[#This Row],[Mês]]))</f>
        <v>2019/03</v>
      </c>
    </row>
    <row r="10" spans="1:10" ht="20.100000000000001" customHeight="1" x14ac:dyDescent="0.25">
      <c r="A10" s="2">
        <v>43565</v>
      </c>
      <c r="B10" s="3" t="s">
        <v>10</v>
      </c>
      <c r="C10" s="3">
        <v>2</v>
      </c>
      <c r="D10" s="1">
        <v>121.34</v>
      </c>
      <c r="E10" s="1">
        <v>0</v>
      </c>
      <c r="F10" s="4">
        <f>TbAportes[[#This Row],[Qte]]*TbAportes[[#This Row],[Valor unitário]]+TbAportes[[#This Row],[Custo]]</f>
        <v>242.68</v>
      </c>
      <c r="G10" s="5" t="str">
        <f>VLOOKUP(TbAportes[[#This Row],[Ativo]],TbAtivos[],2,FALSE)</f>
        <v>FII</v>
      </c>
      <c r="H10" s="5">
        <f>YEAR(TbAportes[[#This Row],[Data]])</f>
        <v>2019</v>
      </c>
      <c r="I10" s="5">
        <f>MONTH(TbAportes[[#This Row],[Data]])</f>
        <v>4</v>
      </c>
      <c r="J10" s="6" t="str">
        <f>_xlfn.CONCAT(TbAportes[[#This Row],[Ano]],"/",IF(TbAportes[[#This Row],[Mês]]&lt;10,_xlfn.CONCAT(0,TbAportes[[#This Row],[Mês]]),TbAportes[[#This Row],[Mês]]))</f>
        <v>2019/04</v>
      </c>
    </row>
    <row r="11" spans="1:10" ht="20.100000000000001" customHeight="1" x14ac:dyDescent="0.25">
      <c r="A11" s="2">
        <v>43565</v>
      </c>
      <c r="B11" s="3" t="s">
        <v>12</v>
      </c>
      <c r="C11" s="3">
        <v>3</v>
      </c>
      <c r="D11" s="1">
        <v>131.05000000000001</v>
      </c>
      <c r="E11" s="1">
        <v>0</v>
      </c>
      <c r="F11" s="4">
        <f>TbAportes[[#This Row],[Qte]]*TbAportes[[#This Row],[Valor unitário]]+TbAportes[[#This Row],[Custo]]</f>
        <v>393.15000000000003</v>
      </c>
      <c r="G11" s="5" t="str">
        <f>VLOOKUP(TbAportes[[#This Row],[Ativo]],TbAtivos[],2,FALSE)</f>
        <v>FII</v>
      </c>
      <c r="H11" s="5">
        <f>YEAR(TbAportes[[#This Row],[Data]])</f>
        <v>2019</v>
      </c>
      <c r="I11" s="5">
        <f>MONTH(TbAportes[[#This Row],[Data]])</f>
        <v>4</v>
      </c>
      <c r="J11" s="6" t="str">
        <f>_xlfn.CONCAT(TbAportes[[#This Row],[Ano]],"/",IF(TbAportes[[#This Row],[Mês]]&lt;10,_xlfn.CONCAT(0,TbAportes[[#This Row],[Mês]]),TbAportes[[#This Row],[Mês]]))</f>
        <v>2019/04</v>
      </c>
    </row>
    <row r="12" spans="1:10" ht="20.100000000000001" customHeight="1" x14ac:dyDescent="0.25">
      <c r="A12" s="2">
        <v>43595</v>
      </c>
      <c r="B12" s="3" t="s">
        <v>3</v>
      </c>
      <c r="C12" s="3">
        <v>100</v>
      </c>
      <c r="D12" s="1">
        <v>9.4499999999999993</v>
      </c>
      <c r="E12" s="1">
        <v>10</v>
      </c>
      <c r="F12" s="4">
        <f>TbAportes[[#This Row],[Qte]]*TbAportes[[#This Row],[Valor unitário]]+TbAportes[[#This Row],[Custo]]</f>
        <v>954.99999999999989</v>
      </c>
      <c r="G12" s="5" t="str">
        <f>VLOOKUP(TbAportes[[#This Row],[Ativo]],TbAtivos[],2,FALSE)</f>
        <v>EMPRESA</v>
      </c>
      <c r="H12" s="5">
        <f>YEAR(TbAportes[[#This Row],[Data]])</f>
        <v>2019</v>
      </c>
      <c r="I12" s="5">
        <f>MONTH(TbAportes[[#This Row],[Data]])</f>
        <v>5</v>
      </c>
      <c r="J12" s="6" t="str">
        <f>_xlfn.CONCAT(TbAportes[[#This Row],[Ano]],"/",IF(TbAportes[[#This Row],[Mês]]&lt;10,_xlfn.CONCAT(0,TbAportes[[#This Row],[Mês]]),TbAportes[[#This Row],[Mês]]))</f>
        <v>2019/05</v>
      </c>
    </row>
    <row r="13" spans="1:10" ht="20.100000000000001" customHeight="1" x14ac:dyDescent="0.25">
      <c r="A13" s="2">
        <v>43595</v>
      </c>
      <c r="B13" s="3" t="s">
        <v>13</v>
      </c>
      <c r="C13" s="3">
        <v>100</v>
      </c>
      <c r="D13" s="1">
        <v>7.56</v>
      </c>
      <c r="E13" s="1">
        <v>10</v>
      </c>
      <c r="F13" s="4">
        <f>TbAportes[[#This Row],[Qte]]*TbAportes[[#This Row],[Valor unitário]]+TbAportes[[#This Row],[Custo]]</f>
        <v>766</v>
      </c>
      <c r="G13" s="5" t="str">
        <f>VLOOKUP(TbAportes[[#This Row],[Ativo]],TbAtivos[],2,FALSE)</f>
        <v>EMPRESA</v>
      </c>
      <c r="H13" s="5">
        <f>YEAR(TbAportes[[#This Row],[Data]])</f>
        <v>2019</v>
      </c>
      <c r="I13" s="5">
        <f>MONTH(TbAportes[[#This Row],[Data]])</f>
        <v>5</v>
      </c>
      <c r="J13" s="6" t="str">
        <f>_xlfn.CONCAT(TbAportes[[#This Row],[Ano]],"/",IF(TbAportes[[#This Row],[Mês]]&lt;10,_xlfn.CONCAT(0,TbAportes[[#This Row],[Mês]]),TbAportes[[#This Row],[Mês]]))</f>
        <v>2019/05</v>
      </c>
    </row>
    <row r="14" spans="1:10" ht="20.100000000000001" customHeight="1" x14ac:dyDescent="0.25">
      <c r="A14" s="2">
        <v>43626</v>
      </c>
      <c r="B14" s="3" t="s">
        <v>11</v>
      </c>
      <c r="C14" s="3">
        <v>5</v>
      </c>
      <c r="D14" s="1">
        <v>135.81</v>
      </c>
      <c r="E14" s="1">
        <v>0</v>
      </c>
      <c r="F14" s="4">
        <f>TbAportes[[#This Row],[Qte]]*TbAportes[[#This Row],[Valor unitário]]+TbAportes[[#This Row],[Custo]]</f>
        <v>679.05</v>
      </c>
      <c r="G14" s="5" t="str">
        <f>VLOOKUP(TbAportes[[#This Row],[Ativo]],TbAtivos[],2,FALSE)</f>
        <v>FII</v>
      </c>
      <c r="H14" s="5">
        <f>YEAR(TbAportes[[#This Row],[Data]])</f>
        <v>2019</v>
      </c>
      <c r="I14" s="5">
        <f>MONTH(TbAportes[[#This Row],[Data]])</f>
        <v>6</v>
      </c>
      <c r="J14" s="6" t="str">
        <f>_xlfn.CONCAT(TbAportes[[#This Row],[Ano]],"/",IF(TbAportes[[#This Row],[Mês]]&lt;10,_xlfn.CONCAT(0,TbAportes[[#This Row],[Mês]]),TbAportes[[#This Row],[Mês]]))</f>
        <v>2019/06</v>
      </c>
    </row>
    <row r="15" spans="1:10" ht="20.100000000000001" customHeight="1" x14ac:dyDescent="0.25">
      <c r="A15" s="2">
        <v>43626</v>
      </c>
      <c r="B15" s="3" t="s">
        <v>7</v>
      </c>
      <c r="C15" s="3">
        <v>100</v>
      </c>
      <c r="D15" s="1">
        <v>15.81</v>
      </c>
      <c r="E15" s="1">
        <v>10</v>
      </c>
      <c r="F15" s="4">
        <f>TbAportes[[#This Row],[Qte]]*TbAportes[[#This Row],[Valor unitário]]+TbAportes[[#This Row],[Custo]]</f>
        <v>1591</v>
      </c>
      <c r="G15" s="5" t="str">
        <f>VLOOKUP(TbAportes[[#This Row],[Ativo]],TbAtivos[],2,FALSE)</f>
        <v>EMPRESA</v>
      </c>
      <c r="H15" s="5">
        <f>YEAR(TbAportes[[#This Row],[Data]])</f>
        <v>2019</v>
      </c>
      <c r="I15" s="5">
        <f>MONTH(TbAportes[[#This Row],[Data]])</f>
        <v>6</v>
      </c>
      <c r="J15" s="6" t="str">
        <f>_xlfn.CONCAT(TbAportes[[#This Row],[Ano]],"/",IF(TbAportes[[#This Row],[Mês]]&lt;10,_xlfn.CONCAT(0,TbAportes[[#This Row],[Mês]]),TbAportes[[#This Row],[Mês]]))</f>
        <v>2019/06</v>
      </c>
    </row>
    <row r="16" spans="1:10" ht="20.100000000000001" customHeight="1" x14ac:dyDescent="0.25">
      <c r="A16" s="2">
        <v>43656</v>
      </c>
      <c r="B16" s="3" t="s">
        <v>5</v>
      </c>
      <c r="C16" s="3">
        <v>100</v>
      </c>
      <c r="D16" s="1">
        <v>20.32</v>
      </c>
      <c r="E16" s="1">
        <v>10</v>
      </c>
      <c r="F16" s="4">
        <f>TbAportes[[#This Row],[Qte]]*TbAportes[[#This Row],[Valor unitário]]+TbAportes[[#This Row],[Custo]]</f>
        <v>2042</v>
      </c>
      <c r="G16" s="5" t="str">
        <f>VLOOKUP(TbAportes[[#This Row],[Ativo]],TbAtivos[],2,FALSE)</f>
        <v>EMPRESA</v>
      </c>
      <c r="H16" s="5">
        <f>YEAR(TbAportes[[#This Row],[Data]])</f>
        <v>2019</v>
      </c>
      <c r="I16" s="5">
        <f>MONTH(TbAportes[[#This Row],[Data]])</f>
        <v>7</v>
      </c>
      <c r="J16" s="6" t="str">
        <f>_xlfn.CONCAT(TbAportes[[#This Row],[Ano]],"/",IF(TbAportes[[#This Row],[Mês]]&lt;10,_xlfn.CONCAT(0,TbAportes[[#This Row],[Mês]]),TbAportes[[#This Row],[Mês]]))</f>
        <v>2019/07</v>
      </c>
    </row>
    <row r="17" spans="1:10" ht="20.100000000000001" customHeight="1" x14ac:dyDescent="0.25">
      <c r="A17" s="2">
        <v>43656</v>
      </c>
      <c r="B17" s="3" t="s">
        <v>8</v>
      </c>
      <c r="C17" s="3">
        <v>1</v>
      </c>
      <c r="D17" s="1">
        <v>191.74</v>
      </c>
      <c r="E17" s="1">
        <v>0</v>
      </c>
      <c r="F17" s="4">
        <f>TbAportes[[#This Row],[Qte]]*TbAportes[[#This Row],[Valor unitário]]+TbAportes[[#This Row],[Custo]]</f>
        <v>191.74</v>
      </c>
      <c r="G17" s="5" t="str">
        <f>VLOOKUP(TbAportes[[#This Row],[Ativo]],TbAtivos[],2,FALSE)</f>
        <v>FII</v>
      </c>
      <c r="H17" s="5">
        <f>YEAR(TbAportes[[#This Row],[Data]])</f>
        <v>2019</v>
      </c>
      <c r="I17" s="5">
        <f>MONTH(TbAportes[[#This Row],[Data]])</f>
        <v>7</v>
      </c>
      <c r="J17" s="6" t="str">
        <f>_xlfn.CONCAT(TbAportes[[#This Row],[Ano]],"/",IF(TbAportes[[#This Row],[Mês]]&lt;10,_xlfn.CONCAT(0,TbAportes[[#This Row],[Mês]]),TbAportes[[#This Row],[Mês]]))</f>
        <v>2019/07</v>
      </c>
    </row>
    <row r="18" spans="1:10" ht="20.100000000000001" customHeight="1" x14ac:dyDescent="0.25">
      <c r="A18" s="2">
        <v>43687</v>
      </c>
      <c r="B18" s="3" t="s">
        <v>10</v>
      </c>
      <c r="C18" s="3">
        <v>7</v>
      </c>
      <c r="D18" s="1">
        <v>138.94</v>
      </c>
      <c r="E18" s="1">
        <v>0</v>
      </c>
      <c r="F18" s="4">
        <f>TbAportes[[#This Row],[Qte]]*TbAportes[[#This Row],[Valor unitário]]+TbAportes[[#This Row],[Custo]]</f>
        <v>972.57999999999993</v>
      </c>
      <c r="G18" s="5" t="str">
        <f>VLOOKUP(TbAportes[[#This Row],[Ativo]],TbAtivos[],2,FALSE)</f>
        <v>FII</v>
      </c>
      <c r="H18" s="5">
        <f>YEAR(TbAportes[[#This Row],[Data]])</f>
        <v>2019</v>
      </c>
      <c r="I18" s="5">
        <f>MONTH(TbAportes[[#This Row],[Data]])</f>
        <v>8</v>
      </c>
      <c r="J18" s="6" t="str">
        <f>_xlfn.CONCAT(TbAportes[[#This Row],[Ano]],"/",IF(TbAportes[[#This Row],[Mês]]&lt;10,_xlfn.CONCAT(0,TbAportes[[#This Row],[Mês]]),TbAportes[[#This Row],[Mês]]))</f>
        <v>2019/08</v>
      </c>
    </row>
    <row r="19" spans="1:10" ht="20.100000000000001" customHeight="1" x14ac:dyDescent="0.25">
      <c r="A19" s="2">
        <v>43687</v>
      </c>
      <c r="B19" s="3" t="s">
        <v>7</v>
      </c>
      <c r="C19" s="3">
        <v>100</v>
      </c>
      <c r="D19" s="1">
        <v>17.559999999999999</v>
      </c>
      <c r="E19" s="1">
        <v>10</v>
      </c>
      <c r="F19" s="4">
        <f>TbAportes[[#This Row],[Qte]]*TbAportes[[#This Row],[Valor unitário]]+TbAportes[[#This Row],[Custo]]</f>
        <v>1765.9999999999998</v>
      </c>
      <c r="G19" s="5" t="str">
        <f>VLOOKUP(TbAportes[[#This Row],[Ativo]],TbAtivos[],2,FALSE)</f>
        <v>EMPRESA</v>
      </c>
      <c r="H19" s="5">
        <f>YEAR(TbAportes[[#This Row],[Data]])</f>
        <v>2019</v>
      </c>
      <c r="I19" s="5">
        <f>MONTH(TbAportes[[#This Row],[Data]])</f>
        <v>8</v>
      </c>
      <c r="J19" s="6" t="str">
        <f>_xlfn.CONCAT(TbAportes[[#This Row],[Ano]],"/",IF(TbAportes[[#This Row],[Mês]]&lt;10,_xlfn.CONCAT(0,TbAportes[[#This Row],[Mês]]),TbAportes[[#This Row],[Mês]]))</f>
        <v>2019/08</v>
      </c>
    </row>
    <row r="20" spans="1:10" ht="20.100000000000001" customHeight="1" x14ac:dyDescent="0.25">
      <c r="A20" s="2">
        <v>43718</v>
      </c>
      <c r="B20" s="3" t="s">
        <v>3</v>
      </c>
      <c r="C20" s="3">
        <v>100</v>
      </c>
      <c r="D20" s="1">
        <v>10.119999999999999</v>
      </c>
      <c r="E20" s="1">
        <v>10</v>
      </c>
      <c r="F20" s="4">
        <f>TbAportes[[#This Row],[Qte]]*TbAportes[[#This Row],[Valor unitário]]+TbAportes[[#This Row],[Custo]]</f>
        <v>1021.9999999999999</v>
      </c>
      <c r="G20" s="5" t="str">
        <f>VLOOKUP(TbAportes[[#This Row],[Ativo]],TbAtivos[],2,FALSE)</f>
        <v>EMPRESA</v>
      </c>
      <c r="H20" s="5">
        <f>YEAR(TbAportes[[#This Row],[Data]])</f>
        <v>2019</v>
      </c>
      <c r="I20" s="5">
        <f>MONTH(TbAportes[[#This Row],[Data]])</f>
        <v>9</v>
      </c>
      <c r="J20" s="6" t="str">
        <f>_xlfn.CONCAT(TbAportes[[#This Row],[Ano]],"/",IF(TbAportes[[#This Row],[Mês]]&lt;10,_xlfn.CONCAT(0,TbAportes[[#This Row],[Mês]]),TbAportes[[#This Row],[Mês]]))</f>
        <v>2019/09</v>
      </c>
    </row>
    <row r="21" spans="1:10" ht="20.100000000000001" customHeight="1" x14ac:dyDescent="0.25">
      <c r="A21" s="2">
        <v>43718</v>
      </c>
      <c r="B21" s="3" t="s">
        <v>11</v>
      </c>
      <c r="C21" s="3">
        <v>2</v>
      </c>
      <c r="D21" s="1">
        <v>134.1</v>
      </c>
      <c r="E21" s="1">
        <v>0</v>
      </c>
      <c r="F21" s="4">
        <f>TbAportes[[#This Row],[Qte]]*TbAportes[[#This Row],[Valor unitário]]+TbAportes[[#This Row],[Custo]]</f>
        <v>268.2</v>
      </c>
      <c r="G21" s="5" t="str">
        <f>VLOOKUP(TbAportes[[#This Row],[Ativo]],TbAtivos[],2,FALSE)</f>
        <v>FII</v>
      </c>
      <c r="H21" s="5">
        <f>YEAR(TbAportes[[#This Row],[Data]])</f>
        <v>2019</v>
      </c>
      <c r="I21" s="5">
        <f>MONTH(TbAportes[[#This Row],[Data]])</f>
        <v>9</v>
      </c>
      <c r="J21" s="6" t="str">
        <f>_xlfn.CONCAT(TbAportes[[#This Row],[Ano]],"/",IF(TbAportes[[#This Row],[Mês]]&lt;10,_xlfn.CONCAT(0,TbAportes[[#This Row],[Mês]]),TbAportes[[#This Row],[Mês]]))</f>
        <v>2019/09</v>
      </c>
    </row>
    <row r="22" spans="1:10" ht="20.100000000000001" customHeight="1" x14ac:dyDescent="0.25">
      <c r="A22" s="2">
        <v>43748</v>
      </c>
      <c r="B22" s="3" t="s">
        <v>7</v>
      </c>
      <c r="C22" s="3">
        <v>100</v>
      </c>
      <c r="D22" s="1">
        <v>16.03</v>
      </c>
      <c r="E22" s="1">
        <v>10</v>
      </c>
      <c r="F22" s="4">
        <f>TbAportes[[#This Row],[Qte]]*TbAportes[[#This Row],[Valor unitário]]+TbAportes[[#This Row],[Custo]]</f>
        <v>1613</v>
      </c>
      <c r="G22" s="5" t="str">
        <f>VLOOKUP(TbAportes[[#This Row],[Ativo]],TbAtivos[],2,FALSE)</f>
        <v>EMPRESA</v>
      </c>
      <c r="H22" s="5">
        <f>YEAR(TbAportes[[#This Row],[Data]])</f>
        <v>2019</v>
      </c>
      <c r="I22" s="5">
        <f>MONTH(TbAportes[[#This Row],[Data]])</f>
        <v>10</v>
      </c>
      <c r="J22" s="6" t="str">
        <f>_xlfn.CONCAT(TbAportes[[#This Row],[Ano]],"/",IF(TbAportes[[#This Row],[Mês]]&lt;10,_xlfn.CONCAT(0,TbAportes[[#This Row],[Mês]]),TbAportes[[#This Row],[Mês]]))</f>
        <v>2019/10</v>
      </c>
    </row>
    <row r="23" spans="1:10" ht="20.100000000000001" customHeight="1" x14ac:dyDescent="0.25">
      <c r="A23" s="2">
        <v>43748</v>
      </c>
      <c r="B23" s="3" t="s">
        <v>8</v>
      </c>
      <c r="C23" s="3">
        <v>5</v>
      </c>
      <c r="D23" s="1">
        <v>194.23</v>
      </c>
      <c r="E23" s="1">
        <v>0</v>
      </c>
      <c r="F23" s="4">
        <f>TbAportes[[#This Row],[Qte]]*TbAportes[[#This Row],[Valor unitário]]+TbAportes[[#This Row],[Custo]]</f>
        <v>971.15</v>
      </c>
      <c r="G23" s="5" t="str">
        <f>VLOOKUP(TbAportes[[#This Row],[Ativo]],TbAtivos[],2,FALSE)</f>
        <v>FII</v>
      </c>
      <c r="H23" s="5">
        <f>YEAR(TbAportes[[#This Row],[Data]])</f>
        <v>2019</v>
      </c>
      <c r="I23" s="5">
        <f>MONTH(TbAportes[[#This Row],[Data]])</f>
        <v>10</v>
      </c>
      <c r="J23" s="6" t="str">
        <f>_xlfn.CONCAT(TbAportes[[#This Row],[Ano]],"/",IF(TbAportes[[#This Row],[Mês]]&lt;10,_xlfn.CONCAT(0,TbAportes[[#This Row],[Mês]]),TbAportes[[#This Row],[Mês]]))</f>
        <v>2019/10</v>
      </c>
    </row>
    <row r="24" spans="1:10" ht="20.100000000000001" customHeight="1" x14ac:dyDescent="0.25">
      <c r="A24" s="2">
        <v>43779</v>
      </c>
      <c r="B24" s="3" t="s">
        <v>6</v>
      </c>
      <c r="C24" s="3">
        <v>100</v>
      </c>
      <c r="D24" s="1">
        <v>9.5299999999999994</v>
      </c>
      <c r="E24" s="1">
        <v>10</v>
      </c>
      <c r="F24" s="4">
        <f>TbAportes[[#This Row],[Qte]]*TbAportes[[#This Row],[Valor unitário]]+TbAportes[[#This Row],[Custo]]</f>
        <v>962.99999999999989</v>
      </c>
      <c r="G24" s="5" t="str">
        <f>VLOOKUP(TbAportes[[#This Row],[Ativo]],TbAtivos[],2,FALSE)</f>
        <v>EMPRESA</v>
      </c>
      <c r="H24" s="5">
        <f>YEAR(TbAportes[[#This Row],[Data]])</f>
        <v>2019</v>
      </c>
      <c r="I24" s="5">
        <f>MONTH(TbAportes[[#This Row],[Data]])</f>
        <v>11</v>
      </c>
      <c r="J24" s="6" t="str">
        <f>_xlfn.CONCAT(TbAportes[[#This Row],[Ano]],"/",IF(TbAportes[[#This Row],[Mês]]&lt;10,_xlfn.CONCAT(0,TbAportes[[#This Row],[Mês]]),TbAportes[[#This Row],[Mês]]))</f>
        <v>2019/11</v>
      </c>
    </row>
    <row r="25" spans="1:10" ht="20.100000000000001" customHeight="1" x14ac:dyDescent="0.25">
      <c r="A25" s="2">
        <v>43779</v>
      </c>
      <c r="B25" s="3" t="s">
        <v>10</v>
      </c>
      <c r="C25" s="3">
        <v>3</v>
      </c>
      <c r="D25" s="1">
        <v>143.55000000000001</v>
      </c>
      <c r="E25" s="1">
        <v>0</v>
      </c>
      <c r="F25" s="4">
        <f>TbAportes[[#This Row],[Qte]]*TbAportes[[#This Row],[Valor unitário]]+TbAportes[[#This Row],[Custo]]</f>
        <v>430.65000000000003</v>
      </c>
      <c r="G25" s="5" t="str">
        <f>VLOOKUP(TbAportes[[#This Row],[Ativo]],TbAtivos[],2,FALSE)</f>
        <v>FII</v>
      </c>
      <c r="H25" s="5">
        <f>YEAR(TbAportes[[#This Row],[Data]])</f>
        <v>2019</v>
      </c>
      <c r="I25" s="5">
        <f>MONTH(TbAportes[[#This Row],[Data]])</f>
        <v>11</v>
      </c>
      <c r="J25" s="6" t="str">
        <f>_xlfn.CONCAT(TbAportes[[#This Row],[Ano]],"/",IF(TbAportes[[#This Row],[Mês]]&lt;10,_xlfn.CONCAT(0,TbAportes[[#This Row],[Mês]]),TbAportes[[#This Row],[Mês]]))</f>
        <v>2019/11</v>
      </c>
    </row>
    <row r="26" spans="1:10" ht="20.100000000000001" customHeight="1" x14ac:dyDescent="0.25">
      <c r="A26" s="2">
        <v>43809</v>
      </c>
      <c r="B26" s="3" t="s">
        <v>12</v>
      </c>
      <c r="C26" s="3">
        <v>5</v>
      </c>
      <c r="D26" s="1">
        <v>143.22999999999999</v>
      </c>
      <c r="E26" s="1">
        <v>0</v>
      </c>
      <c r="F26" s="4">
        <f>TbAportes[[#This Row],[Qte]]*TbAportes[[#This Row],[Valor unitário]]+TbAportes[[#This Row],[Custo]]</f>
        <v>716.15</v>
      </c>
      <c r="G26" s="5" t="str">
        <f>VLOOKUP(TbAportes[[#This Row],[Ativo]],TbAtivos[],2,FALSE)</f>
        <v>FII</v>
      </c>
      <c r="H26" s="5">
        <f>YEAR(TbAportes[[#This Row],[Data]])</f>
        <v>2019</v>
      </c>
      <c r="I26" s="5">
        <f>MONTH(TbAportes[[#This Row],[Data]])</f>
        <v>12</v>
      </c>
      <c r="J26" s="6" t="str">
        <f>_xlfn.CONCAT(TbAportes[[#This Row],[Ano]],"/",IF(TbAportes[[#This Row],[Mês]]&lt;10,_xlfn.CONCAT(0,TbAportes[[#This Row],[Mês]]),TbAportes[[#This Row],[Mês]]))</f>
        <v>2019/12</v>
      </c>
    </row>
    <row r="27" spans="1:10" ht="20.100000000000001" customHeight="1" x14ac:dyDescent="0.25">
      <c r="A27" s="2">
        <v>43809</v>
      </c>
      <c r="B27" s="3" t="s">
        <v>13</v>
      </c>
      <c r="C27" s="3">
        <v>100</v>
      </c>
      <c r="D27" s="1">
        <v>8.59</v>
      </c>
      <c r="E27" s="1">
        <v>10</v>
      </c>
      <c r="F27" s="4">
        <f>TbAportes[[#This Row],[Qte]]*TbAportes[[#This Row],[Valor unitário]]+TbAportes[[#This Row],[Custo]]</f>
        <v>869</v>
      </c>
      <c r="G27" s="5" t="str">
        <f>VLOOKUP(TbAportes[[#This Row],[Ativo]],TbAtivos[],2,FALSE)</f>
        <v>EMPRESA</v>
      </c>
      <c r="H27" s="5">
        <f>YEAR(TbAportes[[#This Row],[Data]])</f>
        <v>2019</v>
      </c>
      <c r="I27" s="5">
        <f>MONTH(TbAportes[[#This Row],[Data]])</f>
        <v>12</v>
      </c>
      <c r="J27" s="6" t="str">
        <f>_xlfn.CONCAT(TbAportes[[#This Row],[Ano]],"/",IF(TbAportes[[#This Row],[Mês]]&lt;10,_xlfn.CONCAT(0,TbAportes[[#This Row],[Mês]]),TbAportes[[#This Row],[Mês]]))</f>
        <v>2019/12</v>
      </c>
    </row>
    <row r="28" spans="1:10" ht="20.100000000000001" customHeight="1" x14ac:dyDescent="0.25">
      <c r="A28" s="2">
        <v>43840</v>
      </c>
      <c r="B28" s="3" t="s">
        <v>12</v>
      </c>
      <c r="C28" s="3">
        <v>10</v>
      </c>
      <c r="D28" s="1">
        <v>152.6</v>
      </c>
      <c r="E28" s="1">
        <v>0</v>
      </c>
      <c r="F28" s="4">
        <f>TbAportes[[#This Row],[Qte]]*TbAportes[[#This Row],[Valor unitário]]+TbAportes[[#This Row],[Custo]]</f>
        <v>1526</v>
      </c>
      <c r="G28" s="5" t="str">
        <f>VLOOKUP(TbAportes[[#This Row],[Ativo]],TbAtivos[],2,FALSE)</f>
        <v>FII</v>
      </c>
      <c r="H28" s="5">
        <f>YEAR(TbAportes[[#This Row],[Data]])</f>
        <v>2020</v>
      </c>
      <c r="I28" s="5">
        <f>MONTH(TbAportes[[#This Row],[Data]])</f>
        <v>1</v>
      </c>
      <c r="J28" s="6" t="str">
        <f>_xlfn.CONCAT(TbAportes[[#This Row],[Ano]],"/",IF(TbAportes[[#This Row],[Mês]]&lt;10,_xlfn.CONCAT(0,TbAportes[[#This Row],[Mês]]),TbAportes[[#This Row],[Mês]]))</f>
        <v>2020/01</v>
      </c>
    </row>
    <row r="29" spans="1:10" ht="20.100000000000001" customHeight="1" x14ac:dyDescent="0.25">
      <c r="A29" s="2">
        <v>43840</v>
      </c>
      <c r="B29" s="3" t="s">
        <v>11</v>
      </c>
      <c r="C29" s="3">
        <v>4</v>
      </c>
      <c r="D29" s="1">
        <v>138.44999999999999</v>
      </c>
      <c r="E29" s="1">
        <v>0</v>
      </c>
      <c r="F29" s="4">
        <f>TbAportes[[#This Row],[Qte]]*TbAportes[[#This Row],[Valor unitário]]+TbAportes[[#This Row],[Custo]]</f>
        <v>553.79999999999995</v>
      </c>
      <c r="G29" s="5" t="str">
        <f>VLOOKUP(TbAportes[[#This Row],[Ativo]],TbAtivos[],2,FALSE)</f>
        <v>FII</v>
      </c>
      <c r="H29" s="5">
        <f>YEAR(TbAportes[[#This Row],[Data]])</f>
        <v>2020</v>
      </c>
      <c r="I29" s="5">
        <f>MONTH(TbAportes[[#This Row],[Data]])</f>
        <v>1</v>
      </c>
      <c r="J29" s="6" t="str">
        <f>_xlfn.CONCAT(TbAportes[[#This Row],[Ano]],"/",IF(TbAportes[[#This Row],[Mês]]&lt;10,_xlfn.CONCAT(0,TbAportes[[#This Row],[Mês]]),TbAportes[[#This Row],[Mês]]))</f>
        <v>2020/01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2C8AF-77C4-452C-9592-6DEF6D36E74D}">
  <dimension ref="A1:I72"/>
  <sheetViews>
    <sheetView topLeftCell="A56" workbookViewId="0">
      <selection activeCell="I2" sqref="I2"/>
    </sheetView>
  </sheetViews>
  <sheetFormatPr defaultRowHeight="20.100000000000001" customHeight="1" x14ac:dyDescent="0.25"/>
  <cols>
    <col min="1" max="3" width="9.140625" style="3"/>
    <col min="4" max="4" width="14.42578125" style="3" customWidth="1"/>
    <col min="5" max="5" width="9.140625" style="3"/>
    <col min="6" max="6" width="16.28515625" style="3" customWidth="1"/>
    <col min="7" max="7" width="10.42578125" style="3" bestFit="1" customWidth="1"/>
    <col min="8" max="8" width="12.42578125" style="3" customWidth="1"/>
    <col min="9" max="16384" width="9.140625" style="3"/>
  </cols>
  <sheetData>
    <row r="1" spans="1:9" ht="20.100000000000001" customHeight="1" x14ac:dyDescent="0.25">
      <c r="A1" s="3" t="s">
        <v>24</v>
      </c>
      <c r="B1" s="3" t="s">
        <v>15</v>
      </c>
      <c r="C1" s="3" t="s">
        <v>16</v>
      </c>
      <c r="D1" s="7" t="s">
        <v>25</v>
      </c>
      <c r="E1" s="7" t="s">
        <v>26</v>
      </c>
      <c r="F1" s="7" t="s">
        <v>27</v>
      </c>
      <c r="G1" s="2" t="s">
        <v>14</v>
      </c>
      <c r="H1" s="7" t="s">
        <v>23</v>
      </c>
      <c r="I1" s="7" t="s">
        <v>20</v>
      </c>
    </row>
    <row r="2" spans="1:9" ht="20.100000000000001" customHeight="1" x14ac:dyDescent="0.25">
      <c r="A2" s="3">
        <v>13</v>
      </c>
      <c r="B2" s="3" t="s">
        <v>6</v>
      </c>
      <c r="C2" s="3">
        <v>100</v>
      </c>
      <c r="D2" s="7">
        <v>39.479999999999997</v>
      </c>
      <c r="E2" s="7">
        <v>0</v>
      </c>
      <c r="F2" s="7">
        <v>39.479999999999997</v>
      </c>
      <c r="G2" s="2">
        <v>43449</v>
      </c>
      <c r="H2" s="3" t="str">
        <f>_xlfn.CONCAT(YEAR(TbProventos[[#This Row],[Data]]),"/",IF(MONTH(TbProventos[[#This Row],[Data]])&lt;10,_xlfn.CONCAT(0,MONTH(TbProventos[[#This Row],[Data]])),MONTH(TbProventos[[#This Row],[Data]])))</f>
        <v>2018/12</v>
      </c>
      <c r="I2" s="3" t="str">
        <f>VLOOKUP(TbProventos[[#This Row],[Ativo]],TbAtivos[],2,FALSE)</f>
        <v>EMPRESA</v>
      </c>
    </row>
    <row r="3" spans="1:9" ht="20.100000000000001" customHeight="1" x14ac:dyDescent="0.25">
      <c r="A3" s="3">
        <v>14</v>
      </c>
      <c r="B3" s="3" t="s">
        <v>8</v>
      </c>
      <c r="C3" s="3">
        <v>100</v>
      </c>
      <c r="D3" s="7">
        <v>63</v>
      </c>
      <c r="E3" s="7">
        <v>0</v>
      </c>
      <c r="F3" s="7">
        <v>63</v>
      </c>
      <c r="G3" s="2">
        <v>43451</v>
      </c>
      <c r="H3" s="3" t="str">
        <f>_xlfn.CONCAT(YEAR(TbProventos[[#This Row],[Data]]),"/",IF(MONTH(TbProventos[[#This Row],[Data]])&lt;10,_xlfn.CONCAT(0,MONTH(TbProventos[[#This Row],[Data]])),MONTH(TbProventos[[#This Row],[Data]])))</f>
        <v>2018/12</v>
      </c>
      <c r="I3" s="3" t="str">
        <f>VLOOKUP(TbProventos[[#This Row],[Ativo]],TbAtivos[],2,FALSE)</f>
        <v>FII</v>
      </c>
    </row>
    <row r="4" spans="1:9" ht="20.100000000000001" customHeight="1" x14ac:dyDescent="0.25">
      <c r="A4" s="3">
        <v>14</v>
      </c>
      <c r="B4" s="3" t="s">
        <v>10</v>
      </c>
      <c r="C4" s="3">
        <v>100</v>
      </c>
      <c r="D4" s="7">
        <v>81</v>
      </c>
      <c r="E4" s="7">
        <v>0</v>
      </c>
      <c r="F4" s="7">
        <v>81</v>
      </c>
      <c r="G4" s="2">
        <v>43451</v>
      </c>
      <c r="H4" s="3" t="str">
        <f>_xlfn.CONCAT(YEAR(TbProventos[[#This Row],[Data]]),"/",IF(MONTH(TbProventos[[#This Row],[Data]])&lt;10,_xlfn.CONCAT(0,MONTH(TbProventos[[#This Row],[Data]])),MONTH(TbProventos[[#This Row],[Data]])))</f>
        <v>2018/12</v>
      </c>
      <c r="I4" s="3" t="str">
        <f>VLOOKUP(TbProventos[[#This Row],[Ativo]],TbAtivos[],2,FALSE)</f>
        <v>FII</v>
      </c>
    </row>
    <row r="5" spans="1:9" ht="20.100000000000001" customHeight="1" x14ac:dyDescent="0.25">
      <c r="A5" s="3">
        <v>14</v>
      </c>
      <c r="B5" s="3" t="s">
        <v>11</v>
      </c>
      <c r="C5" s="3">
        <v>100</v>
      </c>
      <c r="D5" s="7">
        <v>38.89</v>
      </c>
      <c r="E5" s="7">
        <v>0</v>
      </c>
      <c r="F5" s="7">
        <v>38.89</v>
      </c>
      <c r="G5" s="2">
        <v>43451</v>
      </c>
      <c r="H5" s="3" t="str">
        <f>_xlfn.CONCAT(YEAR(TbProventos[[#This Row],[Data]]),"/",IF(MONTH(TbProventos[[#This Row],[Data]])&lt;10,_xlfn.CONCAT(0,MONTH(TbProventos[[#This Row],[Data]])),MONTH(TbProventos[[#This Row],[Data]])))</f>
        <v>2018/12</v>
      </c>
      <c r="I5" s="3" t="str">
        <f>VLOOKUP(TbProventos[[#This Row],[Ativo]],TbAtivos[],2,FALSE)</f>
        <v>FII</v>
      </c>
    </row>
    <row r="6" spans="1:9" ht="20.100000000000001" customHeight="1" x14ac:dyDescent="0.25">
      <c r="A6" s="3">
        <v>14</v>
      </c>
      <c r="B6" s="3" t="s">
        <v>12</v>
      </c>
      <c r="C6" s="3">
        <v>100</v>
      </c>
      <c r="D6" s="7">
        <v>34.770000000000003</v>
      </c>
      <c r="E6" s="7">
        <v>0</v>
      </c>
      <c r="F6" s="7">
        <v>34.770000000000003</v>
      </c>
      <c r="G6" s="2">
        <v>43451</v>
      </c>
      <c r="H6" s="3" t="str">
        <f>_xlfn.CONCAT(YEAR(TbProventos[[#This Row],[Data]]),"/",IF(MONTH(TbProventos[[#This Row],[Data]])&lt;10,_xlfn.CONCAT(0,MONTH(TbProventos[[#This Row],[Data]])),MONTH(TbProventos[[#This Row],[Data]])))</f>
        <v>2018/12</v>
      </c>
      <c r="I6" s="3" t="str">
        <f>VLOOKUP(TbProventos[[#This Row],[Ativo]],TbAtivos[],2,FALSE)</f>
        <v>FII</v>
      </c>
    </row>
    <row r="7" spans="1:9" ht="20.100000000000001" customHeight="1" x14ac:dyDescent="0.25">
      <c r="A7" s="3">
        <v>13</v>
      </c>
      <c r="B7" s="3" t="s">
        <v>7</v>
      </c>
      <c r="C7" s="3">
        <v>100</v>
      </c>
      <c r="D7" s="7">
        <v>67</v>
      </c>
      <c r="E7" s="7">
        <v>6</v>
      </c>
      <c r="F7" s="7">
        <v>61</v>
      </c>
      <c r="G7" s="2">
        <v>43480</v>
      </c>
      <c r="H7" s="3" t="str">
        <f>_xlfn.CONCAT(YEAR(TbProventos[[#This Row],[Data]]),"/",IF(MONTH(TbProventos[[#This Row],[Data]])&lt;10,_xlfn.CONCAT(0,MONTH(TbProventos[[#This Row],[Data]])),MONTH(TbProventos[[#This Row],[Data]])))</f>
        <v>2019/01</v>
      </c>
      <c r="I7" s="3" t="str">
        <f>VLOOKUP(TbProventos[[#This Row],[Ativo]],TbAtivos[],2,FALSE)</f>
        <v>EMPRESA</v>
      </c>
    </row>
    <row r="8" spans="1:9" ht="20.100000000000001" customHeight="1" x14ac:dyDescent="0.25">
      <c r="A8" s="3">
        <v>14</v>
      </c>
      <c r="B8" s="3" t="s">
        <v>8</v>
      </c>
      <c r="C8" s="3">
        <v>100</v>
      </c>
      <c r="D8" s="7">
        <v>75.709999999999994</v>
      </c>
      <c r="E8" s="7">
        <v>0</v>
      </c>
      <c r="F8" s="7">
        <v>75.709999999999994</v>
      </c>
      <c r="G8" s="2">
        <v>43482</v>
      </c>
      <c r="H8" s="3" t="str">
        <f>_xlfn.CONCAT(YEAR(TbProventos[[#This Row],[Data]]),"/",IF(MONTH(TbProventos[[#This Row],[Data]])&lt;10,_xlfn.CONCAT(0,MONTH(TbProventos[[#This Row],[Data]])),MONTH(TbProventos[[#This Row],[Data]])))</f>
        <v>2019/01</v>
      </c>
      <c r="I8" s="3" t="str">
        <f>VLOOKUP(TbProventos[[#This Row],[Ativo]],TbAtivos[],2,FALSE)</f>
        <v>FII</v>
      </c>
    </row>
    <row r="9" spans="1:9" ht="20.100000000000001" customHeight="1" x14ac:dyDescent="0.25">
      <c r="A9" s="3">
        <v>14</v>
      </c>
      <c r="B9" s="3" t="s">
        <v>10</v>
      </c>
      <c r="C9" s="3">
        <v>100</v>
      </c>
      <c r="D9" s="7">
        <v>39.36</v>
      </c>
      <c r="E9" s="7">
        <v>0</v>
      </c>
      <c r="F9" s="7">
        <v>39.36</v>
      </c>
      <c r="G9" s="2">
        <v>43482</v>
      </c>
      <c r="H9" s="3" t="str">
        <f>_xlfn.CONCAT(YEAR(TbProventos[[#This Row],[Data]]),"/",IF(MONTH(TbProventos[[#This Row],[Data]])&lt;10,_xlfn.CONCAT(0,MONTH(TbProventos[[#This Row],[Data]])),MONTH(TbProventos[[#This Row],[Data]])))</f>
        <v>2019/01</v>
      </c>
      <c r="I9" s="3" t="str">
        <f>VLOOKUP(TbProventos[[#This Row],[Ativo]],TbAtivos[],2,FALSE)</f>
        <v>FII</v>
      </c>
    </row>
    <row r="10" spans="1:9" ht="20.100000000000001" customHeight="1" x14ac:dyDescent="0.25">
      <c r="A10" s="3">
        <v>14</v>
      </c>
      <c r="B10" s="3" t="s">
        <v>11</v>
      </c>
      <c r="C10" s="3">
        <v>100</v>
      </c>
      <c r="D10" s="7">
        <v>51.8</v>
      </c>
      <c r="E10" s="7">
        <v>0</v>
      </c>
      <c r="F10" s="7">
        <v>51.8</v>
      </c>
      <c r="G10" s="2">
        <v>43482</v>
      </c>
      <c r="H10" s="3" t="str">
        <f>_xlfn.CONCAT(YEAR(TbProventos[[#This Row],[Data]]),"/",IF(MONTH(TbProventos[[#This Row],[Data]])&lt;10,_xlfn.CONCAT(0,MONTH(TbProventos[[#This Row],[Data]])),MONTH(TbProventos[[#This Row],[Data]])))</f>
        <v>2019/01</v>
      </c>
      <c r="I10" s="3" t="str">
        <f>VLOOKUP(TbProventos[[#This Row],[Ativo]],TbAtivos[],2,FALSE)</f>
        <v>FII</v>
      </c>
    </row>
    <row r="11" spans="1:9" ht="20.100000000000001" customHeight="1" x14ac:dyDescent="0.25">
      <c r="A11" s="3">
        <v>14</v>
      </c>
      <c r="B11" s="3" t="s">
        <v>12</v>
      </c>
      <c r="C11" s="3">
        <v>100</v>
      </c>
      <c r="D11" s="7">
        <v>61.75</v>
      </c>
      <c r="E11" s="7">
        <v>0</v>
      </c>
      <c r="F11" s="7">
        <v>61.75</v>
      </c>
      <c r="G11" s="2">
        <v>43482</v>
      </c>
      <c r="H11" s="3" t="str">
        <f>_xlfn.CONCAT(YEAR(TbProventos[[#This Row],[Data]]),"/",IF(MONTH(TbProventos[[#This Row],[Data]])&lt;10,_xlfn.CONCAT(0,MONTH(TbProventos[[#This Row],[Data]])),MONTH(TbProventos[[#This Row],[Data]])))</f>
        <v>2019/01</v>
      </c>
      <c r="I11" s="3" t="str">
        <f>VLOOKUP(TbProventos[[#This Row],[Ativo]],TbAtivos[],2,FALSE)</f>
        <v>FII</v>
      </c>
    </row>
    <row r="12" spans="1:9" ht="20.100000000000001" customHeight="1" x14ac:dyDescent="0.25">
      <c r="A12" s="3">
        <v>13</v>
      </c>
      <c r="B12" s="3" t="s">
        <v>6</v>
      </c>
      <c r="C12" s="3">
        <v>100</v>
      </c>
      <c r="D12" s="7">
        <v>65.430000000000007</v>
      </c>
      <c r="E12" s="7">
        <v>0</v>
      </c>
      <c r="F12" s="7">
        <v>65.430000000000007</v>
      </c>
      <c r="G12" s="2">
        <v>43511</v>
      </c>
      <c r="H12" s="3" t="str">
        <f>_xlfn.CONCAT(YEAR(TbProventos[[#This Row],[Data]]),"/",IF(MONTH(TbProventos[[#This Row],[Data]])&lt;10,_xlfn.CONCAT(0,MONTH(TbProventos[[#This Row],[Data]])),MONTH(TbProventos[[#This Row],[Data]])))</f>
        <v>2019/02</v>
      </c>
      <c r="I12" s="3" t="str">
        <f>VLOOKUP(TbProventos[[#This Row],[Ativo]],TbAtivos[],2,FALSE)</f>
        <v>EMPRESA</v>
      </c>
    </row>
    <row r="13" spans="1:9" ht="20.100000000000001" customHeight="1" x14ac:dyDescent="0.25">
      <c r="A13" s="3">
        <v>50</v>
      </c>
      <c r="B13" s="3" t="s">
        <v>28</v>
      </c>
      <c r="C13" s="3">
        <v>100</v>
      </c>
      <c r="D13" s="7">
        <v>0</v>
      </c>
      <c r="E13" s="7">
        <v>0</v>
      </c>
      <c r="F13" s="7">
        <v>0</v>
      </c>
      <c r="G13" s="2">
        <v>43511</v>
      </c>
      <c r="H13" s="3" t="str">
        <f>_xlfn.CONCAT(YEAR(TbProventos[[#This Row],[Data]]),"/",IF(MONTH(TbProventos[[#This Row],[Data]])&lt;10,_xlfn.CONCAT(0,MONTH(TbProventos[[#This Row],[Data]])),MONTH(TbProventos[[#This Row],[Data]])))</f>
        <v>2019/02</v>
      </c>
      <c r="I13" s="3" t="e">
        <f>VLOOKUP(TbProventos[[#This Row],[Ativo]],TbAtivos[],2,FALSE)</f>
        <v>#N/A</v>
      </c>
    </row>
    <row r="14" spans="1:9" ht="20.100000000000001" customHeight="1" x14ac:dyDescent="0.25">
      <c r="A14" s="3">
        <v>14</v>
      </c>
      <c r="B14" s="3" t="s">
        <v>8</v>
      </c>
      <c r="C14" s="3">
        <v>100</v>
      </c>
      <c r="D14" s="7">
        <v>61</v>
      </c>
      <c r="E14" s="7">
        <v>0</v>
      </c>
      <c r="F14" s="7">
        <v>61</v>
      </c>
      <c r="G14" s="2">
        <v>43513</v>
      </c>
      <c r="H14" s="3" t="str">
        <f>_xlfn.CONCAT(YEAR(TbProventos[[#This Row],[Data]]),"/",IF(MONTH(TbProventos[[#This Row],[Data]])&lt;10,_xlfn.CONCAT(0,MONTH(TbProventos[[#This Row],[Data]])),MONTH(TbProventos[[#This Row],[Data]])))</f>
        <v>2019/02</v>
      </c>
      <c r="I14" s="3" t="str">
        <f>VLOOKUP(TbProventos[[#This Row],[Ativo]],TbAtivos[],2,FALSE)</f>
        <v>FII</v>
      </c>
    </row>
    <row r="15" spans="1:9" ht="20.100000000000001" customHeight="1" x14ac:dyDescent="0.25">
      <c r="A15" s="3">
        <v>14</v>
      </c>
      <c r="B15" s="3" t="s">
        <v>10</v>
      </c>
      <c r="C15" s="3">
        <v>100</v>
      </c>
      <c r="D15" s="7">
        <v>99</v>
      </c>
      <c r="E15" s="7">
        <v>0</v>
      </c>
      <c r="F15" s="7">
        <v>99</v>
      </c>
      <c r="G15" s="2">
        <v>43513</v>
      </c>
      <c r="H15" s="3" t="str">
        <f>_xlfn.CONCAT(YEAR(TbProventos[[#This Row],[Data]]),"/",IF(MONTH(TbProventos[[#This Row],[Data]])&lt;10,_xlfn.CONCAT(0,MONTH(TbProventos[[#This Row],[Data]])),MONTH(TbProventos[[#This Row],[Data]])))</f>
        <v>2019/02</v>
      </c>
      <c r="I15" s="3" t="str">
        <f>VLOOKUP(TbProventos[[#This Row],[Ativo]],TbAtivos[],2,FALSE)</f>
        <v>FII</v>
      </c>
    </row>
    <row r="16" spans="1:9" ht="20.100000000000001" customHeight="1" x14ac:dyDescent="0.25">
      <c r="A16" s="3">
        <v>14</v>
      </c>
      <c r="B16" s="3" t="s">
        <v>11</v>
      </c>
      <c r="C16" s="3">
        <v>100</v>
      </c>
      <c r="D16" s="7">
        <v>99.9</v>
      </c>
      <c r="E16" s="7">
        <v>0</v>
      </c>
      <c r="F16" s="7">
        <v>99.9</v>
      </c>
      <c r="G16" s="2">
        <v>43513</v>
      </c>
      <c r="H16" s="3" t="str">
        <f>_xlfn.CONCAT(YEAR(TbProventos[[#This Row],[Data]]),"/",IF(MONTH(TbProventos[[#This Row],[Data]])&lt;10,_xlfn.CONCAT(0,MONTH(TbProventos[[#This Row],[Data]])),MONTH(TbProventos[[#This Row],[Data]])))</f>
        <v>2019/02</v>
      </c>
      <c r="I16" s="3" t="str">
        <f>VLOOKUP(TbProventos[[#This Row],[Ativo]],TbAtivos[],2,FALSE)</f>
        <v>FII</v>
      </c>
    </row>
    <row r="17" spans="1:9" ht="20.100000000000001" customHeight="1" x14ac:dyDescent="0.25">
      <c r="A17" s="3">
        <v>14</v>
      </c>
      <c r="B17" s="3" t="s">
        <v>12</v>
      </c>
      <c r="C17" s="3">
        <v>100</v>
      </c>
      <c r="D17" s="7">
        <v>98.42</v>
      </c>
      <c r="E17" s="7">
        <v>0</v>
      </c>
      <c r="F17" s="7">
        <v>98.42</v>
      </c>
      <c r="G17" s="2">
        <v>43513</v>
      </c>
      <c r="H17" s="3" t="str">
        <f>_xlfn.CONCAT(YEAR(TbProventos[[#This Row],[Data]]),"/",IF(MONTH(TbProventos[[#This Row],[Data]])&lt;10,_xlfn.CONCAT(0,MONTH(TbProventos[[#This Row],[Data]])),MONTH(TbProventos[[#This Row],[Data]])))</f>
        <v>2019/02</v>
      </c>
      <c r="I17" s="3" t="str">
        <f>VLOOKUP(TbProventos[[#This Row],[Ativo]],TbAtivos[],2,FALSE)</f>
        <v>FII</v>
      </c>
    </row>
    <row r="18" spans="1:9" ht="20.100000000000001" customHeight="1" x14ac:dyDescent="0.25">
      <c r="A18" s="3">
        <v>13</v>
      </c>
      <c r="B18" s="3" t="s">
        <v>5</v>
      </c>
      <c r="C18" s="3">
        <v>100</v>
      </c>
      <c r="D18" s="7">
        <v>166</v>
      </c>
      <c r="E18" s="7">
        <v>2.34</v>
      </c>
      <c r="F18" s="7">
        <v>163.66</v>
      </c>
      <c r="G18" s="2">
        <v>43539</v>
      </c>
      <c r="H18" s="3" t="str">
        <f>_xlfn.CONCAT(YEAR(TbProventos[[#This Row],[Data]]),"/",IF(MONTH(TbProventos[[#This Row],[Data]])&lt;10,_xlfn.CONCAT(0,MONTH(TbProventos[[#This Row],[Data]])),MONTH(TbProventos[[#This Row],[Data]])))</f>
        <v>2019/03</v>
      </c>
      <c r="I18" s="3" t="str">
        <f>VLOOKUP(TbProventos[[#This Row],[Ativo]],TbAtivos[],2,FALSE)</f>
        <v>EMPRESA</v>
      </c>
    </row>
    <row r="19" spans="1:9" ht="20.100000000000001" customHeight="1" x14ac:dyDescent="0.25">
      <c r="A19" s="3">
        <v>14</v>
      </c>
      <c r="B19" s="3" t="s">
        <v>8</v>
      </c>
      <c r="C19" s="3">
        <v>100</v>
      </c>
      <c r="D19" s="7">
        <v>37.44</v>
      </c>
      <c r="E19" s="7">
        <v>0</v>
      </c>
      <c r="F19" s="7">
        <v>37.44</v>
      </c>
      <c r="G19" s="2">
        <v>43541</v>
      </c>
      <c r="H19" s="3" t="str">
        <f>_xlfn.CONCAT(YEAR(TbProventos[[#This Row],[Data]]),"/",IF(MONTH(TbProventos[[#This Row],[Data]])&lt;10,_xlfn.CONCAT(0,MONTH(TbProventos[[#This Row],[Data]])),MONTH(TbProventos[[#This Row],[Data]])))</f>
        <v>2019/03</v>
      </c>
      <c r="I19" s="3" t="str">
        <f>VLOOKUP(TbProventos[[#This Row],[Ativo]],TbAtivos[],2,FALSE)</f>
        <v>FII</v>
      </c>
    </row>
    <row r="20" spans="1:9" ht="20.100000000000001" customHeight="1" x14ac:dyDescent="0.25">
      <c r="A20" s="3">
        <v>14</v>
      </c>
      <c r="B20" s="3" t="s">
        <v>10</v>
      </c>
      <c r="C20" s="3">
        <v>100</v>
      </c>
      <c r="D20" s="7">
        <v>52.02</v>
      </c>
      <c r="E20" s="7">
        <v>0</v>
      </c>
      <c r="F20" s="7">
        <v>52.02</v>
      </c>
      <c r="G20" s="2">
        <v>43541</v>
      </c>
      <c r="H20" s="3" t="str">
        <f>_xlfn.CONCAT(YEAR(TbProventos[[#This Row],[Data]]),"/",IF(MONTH(TbProventos[[#This Row],[Data]])&lt;10,_xlfn.CONCAT(0,MONTH(TbProventos[[#This Row],[Data]])),MONTH(TbProventos[[#This Row],[Data]])))</f>
        <v>2019/03</v>
      </c>
      <c r="I20" s="3" t="str">
        <f>VLOOKUP(TbProventos[[#This Row],[Ativo]],TbAtivos[],2,FALSE)</f>
        <v>FII</v>
      </c>
    </row>
    <row r="21" spans="1:9" ht="20.100000000000001" customHeight="1" x14ac:dyDescent="0.25">
      <c r="A21" s="3">
        <v>14</v>
      </c>
      <c r="B21" s="3" t="s">
        <v>11</v>
      </c>
      <c r="C21" s="3">
        <v>100</v>
      </c>
      <c r="D21" s="7">
        <v>42.14</v>
      </c>
      <c r="E21" s="7">
        <v>0</v>
      </c>
      <c r="F21" s="7">
        <v>42.14</v>
      </c>
      <c r="G21" s="2">
        <v>43541</v>
      </c>
      <c r="H21" s="3" t="str">
        <f>_xlfn.CONCAT(YEAR(TbProventos[[#This Row],[Data]]),"/",IF(MONTH(TbProventos[[#This Row],[Data]])&lt;10,_xlfn.CONCAT(0,MONTH(TbProventos[[#This Row],[Data]])),MONTH(TbProventos[[#This Row],[Data]])))</f>
        <v>2019/03</v>
      </c>
      <c r="I21" s="3" t="str">
        <f>VLOOKUP(TbProventos[[#This Row],[Ativo]],TbAtivos[],2,FALSE)</f>
        <v>FII</v>
      </c>
    </row>
    <row r="22" spans="1:9" ht="20.100000000000001" customHeight="1" x14ac:dyDescent="0.25">
      <c r="A22" s="3">
        <v>14</v>
      </c>
      <c r="B22" s="3" t="s">
        <v>12</v>
      </c>
      <c r="C22" s="3">
        <v>100</v>
      </c>
      <c r="D22" s="7">
        <v>177.12</v>
      </c>
      <c r="E22" s="7">
        <v>0</v>
      </c>
      <c r="F22" s="7">
        <v>177.12</v>
      </c>
      <c r="G22" s="2">
        <v>43541</v>
      </c>
      <c r="H22" s="3" t="str">
        <f>_xlfn.CONCAT(YEAR(TbProventos[[#This Row],[Data]]),"/",IF(MONTH(TbProventos[[#This Row],[Data]])&lt;10,_xlfn.CONCAT(0,MONTH(TbProventos[[#This Row],[Data]])),MONTH(TbProventos[[#This Row],[Data]])))</f>
        <v>2019/03</v>
      </c>
      <c r="I22" s="3" t="str">
        <f>VLOOKUP(TbProventos[[#This Row],[Ativo]],TbAtivos[],2,FALSE)</f>
        <v>FII</v>
      </c>
    </row>
    <row r="23" spans="1:9" ht="20.100000000000001" customHeight="1" x14ac:dyDescent="0.25">
      <c r="A23" s="3">
        <v>13</v>
      </c>
      <c r="B23" s="3" t="s">
        <v>6</v>
      </c>
      <c r="C23" s="3">
        <v>100</v>
      </c>
      <c r="D23" s="7">
        <v>162.75</v>
      </c>
      <c r="E23" s="7">
        <v>0</v>
      </c>
      <c r="F23" s="7">
        <v>162.75</v>
      </c>
      <c r="G23" s="2">
        <v>43570</v>
      </c>
      <c r="H23" s="3" t="str">
        <f>_xlfn.CONCAT(YEAR(TbProventos[[#This Row],[Data]]),"/",IF(MONTH(TbProventos[[#This Row],[Data]])&lt;10,_xlfn.CONCAT(0,MONTH(TbProventos[[#This Row],[Data]])),MONTH(TbProventos[[#This Row],[Data]])))</f>
        <v>2019/04</v>
      </c>
      <c r="I23" s="3" t="str">
        <f>VLOOKUP(TbProventos[[#This Row],[Ativo]],TbAtivos[],2,FALSE)</f>
        <v>EMPRESA</v>
      </c>
    </row>
    <row r="24" spans="1:9" ht="20.100000000000001" customHeight="1" x14ac:dyDescent="0.25">
      <c r="A24" s="3">
        <v>14</v>
      </c>
      <c r="B24" s="3" t="s">
        <v>8</v>
      </c>
      <c r="C24" s="3">
        <v>100</v>
      </c>
      <c r="D24" s="7">
        <v>61</v>
      </c>
      <c r="E24" s="7">
        <v>0</v>
      </c>
      <c r="F24" s="7">
        <v>61</v>
      </c>
      <c r="G24" s="2">
        <v>43572</v>
      </c>
      <c r="H24" s="3" t="str">
        <f>_xlfn.CONCAT(YEAR(TbProventos[[#This Row],[Data]]),"/",IF(MONTH(TbProventos[[#This Row],[Data]])&lt;10,_xlfn.CONCAT(0,MONTH(TbProventos[[#This Row],[Data]])),MONTH(TbProventos[[#This Row],[Data]])))</f>
        <v>2019/04</v>
      </c>
      <c r="I24" s="3" t="str">
        <f>VLOOKUP(TbProventos[[#This Row],[Ativo]],TbAtivos[],2,FALSE)</f>
        <v>FII</v>
      </c>
    </row>
    <row r="25" spans="1:9" ht="20.100000000000001" customHeight="1" x14ac:dyDescent="0.25">
      <c r="A25" s="3">
        <v>14</v>
      </c>
      <c r="B25" s="3" t="s">
        <v>10</v>
      </c>
      <c r="C25" s="3">
        <v>100</v>
      </c>
      <c r="D25" s="7">
        <v>180.6</v>
      </c>
      <c r="E25" s="7">
        <v>0</v>
      </c>
      <c r="F25" s="7">
        <v>180.6</v>
      </c>
      <c r="G25" s="2">
        <v>43572</v>
      </c>
      <c r="H25" s="3" t="str">
        <f>_xlfn.CONCAT(YEAR(TbProventos[[#This Row],[Data]]),"/",IF(MONTH(TbProventos[[#This Row],[Data]])&lt;10,_xlfn.CONCAT(0,MONTH(TbProventos[[#This Row],[Data]])),MONTH(TbProventos[[#This Row],[Data]])))</f>
        <v>2019/04</v>
      </c>
      <c r="I25" s="3" t="str">
        <f>VLOOKUP(TbProventos[[#This Row],[Ativo]],TbAtivos[],2,FALSE)</f>
        <v>FII</v>
      </c>
    </row>
    <row r="26" spans="1:9" ht="20.100000000000001" customHeight="1" x14ac:dyDescent="0.25">
      <c r="A26" s="3">
        <v>14</v>
      </c>
      <c r="B26" s="3" t="s">
        <v>11</v>
      </c>
      <c r="C26" s="3">
        <v>100</v>
      </c>
      <c r="D26" s="7">
        <v>38.4</v>
      </c>
      <c r="E26" s="7">
        <v>0</v>
      </c>
      <c r="F26" s="7">
        <v>38.4</v>
      </c>
      <c r="G26" s="2">
        <v>43572</v>
      </c>
      <c r="H26" s="3" t="str">
        <f>_xlfn.CONCAT(YEAR(TbProventos[[#This Row],[Data]]),"/",IF(MONTH(TbProventos[[#This Row],[Data]])&lt;10,_xlfn.CONCAT(0,MONTH(TbProventos[[#This Row],[Data]])),MONTH(TbProventos[[#This Row],[Data]])))</f>
        <v>2019/04</v>
      </c>
      <c r="I26" s="3" t="str">
        <f>VLOOKUP(TbProventos[[#This Row],[Ativo]],TbAtivos[],2,FALSE)</f>
        <v>FII</v>
      </c>
    </row>
    <row r="27" spans="1:9" ht="20.100000000000001" customHeight="1" x14ac:dyDescent="0.25">
      <c r="A27" s="3">
        <v>14</v>
      </c>
      <c r="B27" s="3" t="s">
        <v>12</v>
      </c>
      <c r="C27" s="3">
        <v>100</v>
      </c>
      <c r="D27" s="7">
        <v>153.18</v>
      </c>
      <c r="E27" s="7">
        <v>0</v>
      </c>
      <c r="F27" s="7">
        <v>153.18</v>
      </c>
      <c r="G27" s="2">
        <v>43572</v>
      </c>
      <c r="H27" s="3" t="str">
        <f>_xlfn.CONCAT(YEAR(TbProventos[[#This Row],[Data]]),"/",IF(MONTH(TbProventos[[#This Row],[Data]])&lt;10,_xlfn.CONCAT(0,MONTH(TbProventos[[#This Row],[Data]])),MONTH(TbProventos[[#This Row],[Data]])))</f>
        <v>2019/04</v>
      </c>
      <c r="I27" s="3" t="str">
        <f>VLOOKUP(TbProventos[[#This Row],[Ativo]],TbAtivos[],2,FALSE)</f>
        <v>FII</v>
      </c>
    </row>
    <row r="28" spans="1:9" ht="20.100000000000001" customHeight="1" x14ac:dyDescent="0.25">
      <c r="A28" s="3">
        <v>13</v>
      </c>
      <c r="B28" s="3" t="s">
        <v>13</v>
      </c>
      <c r="C28" s="3">
        <v>100</v>
      </c>
      <c r="D28" s="7">
        <v>156.13999999999999</v>
      </c>
      <c r="E28" s="7">
        <v>0</v>
      </c>
      <c r="F28" s="7">
        <v>156.13999999999999</v>
      </c>
      <c r="G28" s="2">
        <v>43600</v>
      </c>
      <c r="H28" s="3" t="str">
        <f>_xlfn.CONCAT(YEAR(TbProventos[[#This Row],[Data]]),"/",IF(MONTH(TbProventos[[#This Row],[Data]])&lt;10,_xlfn.CONCAT(0,MONTH(TbProventos[[#This Row],[Data]])),MONTH(TbProventos[[#This Row],[Data]])))</f>
        <v>2019/05</v>
      </c>
      <c r="I28" s="3" t="str">
        <f>VLOOKUP(TbProventos[[#This Row],[Ativo]],TbAtivos[],2,FALSE)</f>
        <v>EMPRESA</v>
      </c>
    </row>
    <row r="29" spans="1:9" ht="20.100000000000001" customHeight="1" x14ac:dyDescent="0.25">
      <c r="A29" s="3">
        <v>14</v>
      </c>
      <c r="B29" s="3" t="s">
        <v>8</v>
      </c>
      <c r="C29" s="3">
        <v>100</v>
      </c>
      <c r="D29" s="7">
        <v>61</v>
      </c>
      <c r="E29" s="7">
        <v>0</v>
      </c>
      <c r="F29" s="7">
        <v>61</v>
      </c>
      <c r="G29" s="2">
        <v>43602</v>
      </c>
      <c r="H29" s="3" t="str">
        <f>_xlfn.CONCAT(YEAR(TbProventos[[#This Row],[Data]]),"/",IF(MONTH(TbProventos[[#This Row],[Data]])&lt;10,_xlfn.CONCAT(0,MONTH(TbProventos[[#This Row],[Data]])),MONTH(TbProventos[[#This Row],[Data]])))</f>
        <v>2019/05</v>
      </c>
      <c r="I29" s="3" t="str">
        <f>VLOOKUP(TbProventos[[#This Row],[Ativo]],TbAtivos[],2,FALSE)</f>
        <v>FII</v>
      </c>
    </row>
    <row r="30" spans="1:9" ht="20.100000000000001" customHeight="1" x14ac:dyDescent="0.25">
      <c r="A30" s="3">
        <v>14</v>
      </c>
      <c r="B30" s="3" t="s">
        <v>10</v>
      </c>
      <c r="C30" s="3">
        <v>100</v>
      </c>
      <c r="D30" s="7">
        <v>99</v>
      </c>
      <c r="E30" s="7">
        <v>0</v>
      </c>
      <c r="F30" s="7">
        <v>99</v>
      </c>
      <c r="G30" s="2">
        <v>43602</v>
      </c>
      <c r="H30" s="3" t="str">
        <f>_xlfn.CONCAT(YEAR(TbProventos[[#This Row],[Data]]),"/",IF(MONTH(TbProventos[[#This Row],[Data]])&lt;10,_xlfn.CONCAT(0,MONTH(TbProventos[[#This Row],[Data]])),MONTH(TbProventos[[#This Row],[Data]])))</f>
        <v>2019/05</v>
      </c>
      <c r="I30" s="3" t="str">
        <f>VLOOKUP(TbProventos[[#This Row],[Ativo]],TbAtivos[],2,FALSE)</f>
        <v>FII</v>
      </c>
    </row>
    <row r="31" spans="1:9" ht="20.100000000000001" customHeight="1" x14ac:dyDescent="0.25">
      <c r="A31" s="3">
        <v>14</v>
      </c>
      <c r="B31" s="3" t="s">
        <v>11</v>
      </c>
      <c r="C31" s="3">
        <v>100</v>
      </c>
      <c r="D31" s="7">
        <v>99.9</v>
      </c>
      <c r="E31" s="7">
        <v>0</v>
      </c>
      <c r="F31" s="7">
        <v>99.9</v>
      </c>
      <c r="G31" s="2">
        <v>43602</v>
      </c>
      <c r="H31" s="3" t="str">
        <f>_xlfn.CONCAT(YEAR(TbProventos[[#This Row],[Data]]),"/",IF(MONTH(TbProventos[[#This Row],[Data]])&lt;10,_xlfn.CONCAT(0,MONTH(TbProventos[[#This Row],[Data]])),MONTH(TbProventos[[#This Row],[Data]])))</f>
        <v>2019/05</v>
      </c>
      <c r="I31" s="3" t="str">
        <f>VLOOKUP(TbProventos[[#This Row],[Ativo]],TbAtivos[],2,FALSE)</f>
        <v>FII</v>
      </c>
    </row>
    <row r="32" spans="1:9" ht="20.100000000000001" customHeight="1" x14ac:dyDescent="0.25">
      <c r="A32" s="3">
        <v>14</v>
      </c>
      <c r="B32" s="3" t="s">
        <v>12</v>
      </c>
      <c r="C32" s="3">
        <v>100</v>
      </c>
      <c r="D32" s="7">
        <v>98.42</v>
      </c>
      <c r="E32" s="7">
        <v>0</v>
      </c>
      <c r="F32" s="7">
        <v>98.42</v>
      </c>
      <c r="G32" s="2">
        <v>43602</v>
      </c>
      <c r="H32" s="3" t="str">
        <f>_xlfn.CONCAT(YEAR(TbProventos[[#This Row],[Data]]),"/",IF(MONTH(TbProventos[[#This Row],[Data]])&lt;10,_xlfn.CONCAT(0,MONTH(TbProventos[[#This Row],[Data]])),MONTH(TbProventos[[#This Row],[Data]])))</f>
        <v>2019/05</v>
      </c>
      <c r="I32" s="3" t="str">
        <f>VLOOKUP(TbProventos[[#This Row],[Ativo]],TbAtivos[],2,FALSE)</f>
        <v>FII</v>
      </c>
    </row>
    <row r="33" spans="1:9" ht="20.100000000000001" customHeight="1" x14ac:dyDescent="0.25">
      <c r="A33" s="3">
        <v>13</v>
      </c>
      <c r="B33" s="3" t="s">
        <v>6</v>
      </c>
      <c r="C33" s="3">
        <v>100</v>
      </c>
      <c r="D33" s="7">
        <v>166</v>
      </c>
      <c r="E33" s="7">
        <v>0</v>
      </c>
      <c r="F33" s="7">
        <v>166</v>
      </c>
      <c r="G33" s="2">
        <v>43631</v>
      </c>
      <c r="H33" s="3" t="str">
        <f>_xlfn.CONCAT(YEAR(TbProventos[[#This Row],[Data]]),"/",IF(MONTH(TbProventos[[#This Row],[Data]])&lt;10,_xlfn.CONCAT(0,MONTH(TbProventos[[#This Row],[Data]])),MONTH(TbProventos[[#This Row],[Data]])))</f>
        <v>2019/06</v>
      </c>
      <c r="I33" s="3" t="str">
        <f>VLOOKUP(TbProventos[[#This Row],[Ativo]],TbAtivos[],2,FALSE)</f>
        <v>EMPRESA</v>
      </c>
    </row>
    <row r="34" spans="1:9" ht="20.100000000000001" customHeight="1" x14ac:dyDescent="0.25">
      <c r="A34" s="3">
        <v>14</v>
      </c>
      <c r="B34" s="3" t="s">
        <v>8</v>
      </c>
      <c r="C34" s="3">
        <v>100</v>
      </c>
      <c r="D34" s="7">
        <v>37.44</v>
      </c>
      <c r="E34" s="7">
        <v>0</v>
      </c>
      <c r="F34" s="7">
        <v>37.44</v>
      </c>
      <c r="G34" s="2">
        <v>43633</v>
      </c>
      <c r="H34" s="3" t="str">
        <f>_xlfn.CONCAT(YEAR(TbProventos[[#This Row],[Data]]),"/",IF(MONTH(TbProventos[[#This Row],[Data]])&lt;10,_xlfn.CONCAT(0,MONTH(TbProventos[[#This Row],[Data]])),MONTH(TbProventos[[#This Row],[Data]])))</f>
        <v>2019/06</v>
      </c>
      <c r="I34" s="3" t="str">
        <f>VLOOKUP(TbProventos[[#This Row],[Ativo]],TbAtivos[],2,FALSE)</f>
        <v>FII</v>
      </c>
    </row>
    <row r="35" spans="1:9" ht="20.100000000000001" customHeight="1" x14ac:dyDescent="0.25">
      <c r="A35" s="3">
        <v>14</v>
      </c>
      <c r="B35" s="3" t="s">
        <v>10</v>
      </c>
      <c r="C35" s="3">
        <v>100</v>
      </c>
      <c r="D35" s="7">
        <v>52.02</v>
      </c>
      <c r="E35" s="7">
        <v>0</v>
      </c>
      <c r="F35" s="7">
        <v>52.02</v>
      </c>
      <c r="G35" s="2">
        <v>43633</v>
      </c>
      <c r="H35" s="3" t="str">
        <f>_xlfn.CONCAT(YEAR(TbProventos[[#This Row],[Data]]),"/",IF(MONTH(TbProventos[[#This Row],[Data]])&lt;10,_xlfn.CONCAT(0,MONTH(TbProventos[[#This Row],[Data]])),MONTH(TbProventos[[#This Row],[Data]])))</f>
        <v>2019/06</v>
      </c>
      <c r="I35" s="3" t="str">
        <f>VLOOKUP(TbProventos[[#This Row],[Ativo]],TbAtivos[],2,FALSE)</f>
        <v>FII</v>
      </c>
    </row>
    <row r="36" spans="1:9" ht="20.100000000000001" customHeight="1" x14ac:dyDescent="0.25">
      <c r="A36" s="3">
        <v>14</v>
      </c>
      <c r="B36" s="3" t="s">
        <v>11</v>
      </c>
      <c r="C36" s="3">
        <v>100</v>
      </c>
      <c r="D36" s="7">
        <v>42.14</v>
      </c>
      <c r="E36" s="7">
        <v>0</v>
      </c>
      <c r="F36" s="7">
        <v>42.14</v>
      </c>
      <c r="G36" s="2">
        <v>43633</v>
      </c>
      <c r="H36" s="3" t="str">
        <f>_xlfn.CONCAT(YEAR(TbProventos[[#This Row],[Data]]),"/",IF(MONTH(TbProventos[[#This Row],[Data]])&lt;10,_xlfn.CONCAT(0,MONTH(TbProventos[[#This Row],[Data]])),MONTH(TbProventos[[#This Row],[Data]])))</f>
        <v>2019/06</v>
      </c>
      <c r="I36" s="3" t="str">
        <f>VLOOKUP(TbProventos[[#This Row],[Ativo]],TbAtivos[],2,FALSE)</f>
        <v>FII</v>
      </c>
    </row>
    <row r="37" spans="1:9" ht="20.100000000000001" customHeight="1" x14ac:dyDescent="0.25">
      <c r="A37" s="3">
        <v>14</v>
      </c>
      <c r="B37" s="3" t="s">
        <v>12</v>
      </c>
      <c r="C37" s="3">
        <v>100</v>
      </c>
      <c r="D37" s="7">
        <v>177.12</v>
      </c>
      <c r="E37" s="7">
        <v>0</v>
      </c>
      <c r="F37" s="7">
        <v>177.12</v>
      </c>
      <c r="G37" s="2">
        <v>43633</v>
      </c>
      <c r="H37" s="3" t="str">
        <f>_xlfn.CONCAT(YEAR(TbProventos[[#This Row],[Data]]),"/",IF(MONTH(TbProventos[[#This Row],[Data]])&lt;10,_xlfn.CONCAT(0,MONTH(TbProventos[[#This Row],[Data]])),MONTH(TbProventos[[#This Row],[Data]])))</f>
        <v>2019/06</v>
      </c>
      <c r="I37" s="3" t="str">
        <f>VLOOKUP(TbProventos[[#This Row],[Ativo]],TbAtivos[],2,FALSE)</f>
        <v>FII</v>
      </c>
    </row>
    <row r="38" spans="1:9" ht="20.100000000000001" customHeight="1" x14ac:dyDescent="0.25">
      <c r="A38" s="3">
        <v>13</v>
      </c>
      <c r="B38" s="3" t="s">
        <v>7</v>
      </c>
      <c r="C38" s="3">
        <v>100</v>
      </c>
      <c r="D38" s="7">
        <v>162.75</v>
      </c>
      <c r="E38" s="7">
        <v>0</v>
      </c>
      <c r="F38" s="7">
        <v>162.75</v>
      </c>
      <c r="G38" s="2">
        <v>43661</v>
      </c>
      <c r="H38" s="3" t="str">
        <f>_xlfn.CONCAT(YEAR(TbProventos[[#This Row],[Data]]),"/",IF(MONTH(TbProventos[[#This Row],[Data]])&lt;10,_xlfn.CONCAT(0,MONTH(TbProventos[[#This Row],[Data]])),MONTH(TbProventos[[#This Row],[Data]])))</f>
        <v>2019/07</v>
      </c>
      <c r="I38" s="3" t="str">
        <f>VLOOKUP(TbProventos[[#This Row],[Ativo]],TbAtivos[],2,FALSE)</f>
        <v>EMPRESA</v>
      </c>
    </row>
    <row r="39" spans="1:9" ht="20.100000000000001" customHeight="1" x14ac:dyDescent="0.25">
      <c r="A39" s="3">
        <v>14</v>
      </c>
      <c r="B39" s="3" t="s">
        <v>8</v>
      </c>
      <c r="C39" s="3">
        <v>100</v>
      </c>
      <c r="D39" s="7">
        <v>61</v>
      </c>
      <c r="E39" s="7">
        <v>0</v>
      </c>
      <c r="F39" s="7">
        <v>61</v>
      </c>
      <c r="G39" s="2">
        <v>43663</v>
      </c>
      <c r="H39" s="3" t="str">
        <f>_xlfn.CONCAT(YEAR(TbProventos[[#This Row],[Data]]),"/",IF(MONTH(TbProventos[[#This Row],[Data]])&lt;10,_xlfn.CONCAT(0,MONTH(TbProventos[[#This Row],[Data]])),MONTH(TbProventos[[#This Row],[Data]])))</f>
        <v>2019/07</v>
      </c>
      <c r="I39" s="3" t="str">
        <f>VLOOKUP(TbProventos[[#This Row],[Ativo]],TbAtivos[],2,FALSE)</f>
        <v>FII</v>
      </c>
    </row>
    <row r="40" spans="1:9" ht="20.100000000000001" customHeight="1" x14ac:dyDescent="0.25">
      <c r="A40" s="3">
        <v>14</v>
      </c>
      <c r="B40" s="3" t="s">
        <v>10</v>
      </c>
      <c r="C40" s="3">
        <v>100</v>
      </c>
      <c r="D40" s="7">
        <v>180.6</v>
      </c>
      <c r="E40" s="7">
        <v>0</v>
      </c>
      <c r="F40" s="7">
        <v>180.6</v>
      </c>
      <c r="G40" s="2">
        <v>43663</v>
      </c>
      <c r="H40" s="3" t="str">
        <f>_xlfn.CONCAT(YEAR(TbProventos[[#This Row],[Data]]),"/",IF(MONTH(TbProventos[[#This Row],[Data]])&lt;10,_xlfn.CONCAT(0,MONTH(TbProventos[[#This Row],[Data]])),MONTH(TbProventos[[#This Row],[Data]])))</f>
        <v>2019/07</v>
      </c>
      <c r="I40" s="3" t="str">
        <f>VLOOKUP(TbProventos[[#This Row],[Ativo]],TbAtivos[],2,FALSE)</f>
        <v>FII</v>
      </c>
    </row>
    <row r="41" spans="1:9" ht="20.100000000000001" customHeight="1" x14ac:dyDescent="0.25">
      <c r="A41" s="3">
        <v>14</v>
      </c>
      <c r="B41" s="3" t="s">
        <v>11</v>
      </c>
      <c r="C41" s="3">
        <v>100</v>
      </c>
      <c r="D41" s="7">
        <v>38.4</v>
      </c>
      <c r="E41" s="7">
        <v>0</v>
      </c>
      <c r="F41" s="7">
        <v>38.4</v>
      </c>
      <c r="G41" s="2">
        <v>43663</v>
      </c>
      <c r="H41" s="3" t="str">
        <f>_xlfn.CONCAT(YEAR(TbProventos[[#This Row],[Data]]),"/",IF(MONTH(TbProventos[[#This Row],[Data]])&lt;10,_xlfn.CONCAT(0,MONTH(TbProventos[[#This Row],[Data]])),MONTH(TbProventos[[#This Row],[Data]])))</f>
        <v>2019/07</v>
      </c>
      <c r="I41" s="3" t="str">
        <f>VLOOKUP(TbProventos[[#This Row],[Ativo]],TbAtivos[],2,FALSE)</f>
        <v>FII</v>
      </c>
    </row>
    <row r="42" spans="1:9" ht="20.100000000000001" customHeight="1" x14ac:dyDescent="0.25">
      <c r="A42" s="3">
        <v>14</v>
      </c>
      <c r="B42" s="3" t="s">
        <v>12</v>
      </c>
      <c r="C42" s="3">
        <v>100</v>
      </c>
      <c r="D42" s="7">
        <v>153.18</v>
      </c>
      <c r="E42" s="7">
        <v>0</v>
      </c>
      <c r="F42" s="7">
        <v>153.18</v>
      </c>
      <c r="G42" s="2">
        <v>43663</v>
      </c>
      <c r="H42" s="3" t="str">
        <f>_xlfn.CONCAT(YEAR(TbProventos[[#This Row],[Data]]),"/",IF(MONTH(TbProventos[[#This Row],[Data]])&lt;10,_xlfn.CONCAT(0,MONTH(TbProventos[[#This Row],[Data]])),MONTH(TbProventos[[#This Row],[Data]])))</f>
        <v>2019/07</v>
      </c>
      <c r="I42" s="3" t="str">
        <f>VLOOKUP(TbProventos[[#This Row],[Ativo]],TbAtivos[],2,FALSE)</f>
        <v>FII</v>
      </c>
    </row>
    <row r="43" spans="1:9" ht="20.100000000000001" customHeight="1" x14ac:dyDescent="0.25">
      <c r="A43" s="3">
        <v>13</v>
      </c>
      <c r="B43" s="3" t="s">
        <v>5</v>
      </c>
      <c r="C43" s="3">
        <v>100</v>
      </c>
      <c r="D43" s="7">
        <v>156.13999999999999</v>
      </c>
      <c r="E43" s="7">
        <v>0</v>
      </c>
      <c r="F43" s="7">
        <v>156.13999999999999</v>
      </c>
      <c r="G43" s="2">
        <v>43692</v>
      </c>
      <c r="H43" s="3" t="str">
        <f>_xlfn.CONCAT(YEAR(TbProventos[[#This Row],[Data]]),"/",IF(MONTH(TbProventos[[#This Row],[Data]])&lt;10,_xlfn.CONCAT(0,MONTH(TbProventos[[#This Row],[Data]])),MONTH(TbProventos[[#This Row],[Data]])))</f>
        <v>2019/08</v>
      </c>
      <c r="I43" s="3" t="str">
        <f>VLOOKUP(TbProventos[[#This Row],[Ativo]],TbAtivos[],2,FALSE)</f>
        <v>EMPRESA</v>
      </c>
    </row>
    <row r="44" spans="1:9" ht="20.100000000000001" customHeight="1" x14ac:dyDescent="0.25">
      <c r="A44" s="3">
        <v>14</v>
      </c>
      <c r="B44" s="3" t="s">
        <v>8</v>
      </c>
      <c r="C44" s="3">
        <v>100</v>
      </c>
      <c r="D44" s="7">
        <v>61</v>
      </c>
      <c r="E44" s="7">
        <v>1.03</v>
      </c>
      <c r="F44" s="7">
        <v>59.97</v>
      </c>
      <c r="G44" s="2">
        <v>43694</v>
      </c>
      <c r="H44" s="3" t="str">
        <f>_xlfn.CONCAT(YEAR(TbProventos[[#This Row],[Data]]),"/",IF(MONTH(TbProventos[[#This Row],[Data]])&lt;10,_xlfn.CONCAT(0,MONTH(TbProventos[[#This Row],[Data]])),MONTH(TbProventos[[#This Row],[Data]])))</f>
        <v>2019/08</v>
      </c>
      <c r="I44" s="3" t="str">
        <f>VLOOKUP(TbProventos[[#This Row],[Ativo]],TbAtivos[],2,FALSE)</f>
        <v>FII</v>
      </c>
    </row>
    <row r="45" spans="1:9" ht="20.100000000000001" customHeight="1" x14ac:dyDescent="0.25">
      <c r="A45" s="3">
        <v>14</v>
      </c>
      <c r="B45" s="3" t="s">
        <v>10</v>
      </c>
      <c r="C45" s="3">
        <v>100</v>
      </c>
      <c r="D45" s="7">
        <v>99</v>
      </c>
      <c r="E45" s="7">
        <v>0</v>
      </c>
      <c r="F45" s="7">
        <v>99</v>
      </c>
      <c r="G45" s="2">
        <v>43694</v>
      </c>
      <c r="H45" s="3" t="str">
        <f>_xlfn.CONCAT(YEAR(TbProventos[[#This Row],[Data]]),"/",IF(MONTH(TbProventos[[#This Row],[Data]])&lt;10,_xlfn.CONCAT(0,MONTH(TbProventos[[#This Row],[Data]])),MONTH(TbProventos[[#This Row],[Data]])))</f>
        <v>2019/08</v>
      </c>
      <c r="I45" s="3" t="str">
        <f>VLOOKUP(TbProventos[[#This Row],[Ativo]],TbAtivos[],2,FALSE)</f>
        <v>FII</v>
      </c>
    </row>
    <row r="46" spans="1:9" ht="20.100000000000001" customHeight="1" x14ac:dyDescent="0.25">
      <c r="A46" s="3">
        <v>14</v>
      </c>
      <c r="B46" s="3" t="s">
        <v>11</v>
      </c>
      <c r="C46" s="3">
        <v>100</v>
      </c>
      <c r="D46" s="7">
        <v>99.9</v>
      </c>
      <c r="E46" s="7">
        <v>0</v>
      </c>
      <c r="F46" s="7">
        <v>99.9</v>
      </c>
      <c r="G46" s="2">
        <v>43694</v>
      </c>
      <c r="H46" s="3" t="str">
        <f>_xlfn.CONCAT(YEAR(TbProventos[[#This Row],[Data]]),"/",IF(MONTH(TbProventos[[#This Row],[Data]])&lt;10,_xlfn.CONCAT(0,MONTH(TbProventos[[#This Row],[Data]])),MONTH(TbProventos[[#This Row],[Data]])))</f>
        <v>2019/08</v>
      </c>
      <c r="I46" s="3" t="str">
        <f>VLOOKUP(TbProventos[[#This Row],[Ativo]],TbAtivos[],2,FALSE)</f>
        <v>FII</v>
      </c>
    </row>
    <row r="47" spans="1:9" ht="20.100000000000001" customHeight="1" x14ac:dyDescent="0.25">
      <c r="A47" s="3">
        <v>14</v>
      </c>
      <c r="B47" s="3" t="s">
        <v>12</v>
      </c>
      <c r="C47" s="3">
        <v>100</v>
      </c>
      <c r="D47" s="7">
        <v>98.42</v>
      </c>
      <c r="E47" s="7">
        <v>0</v>
      </c>
      <c r="F47" s="7">
        <v>98.42</v>
      </c>
      <c r="G47" s="2">
        <v>43694</v>
      </c>
      <c r="H47" s="3" t="str">
        <f>_xlfn.CONCAT(YEAR(TbProventos[[#This Row],[Data]]),"/",IF(MONTH(TbProventos[[#This Row],[Data]])&lt;10,_xlfn.CONCAT(0,MONTH(TbProventos[[#This Row],[Data]])),MONTH(TbProventos[[#This Row],[Data]])))</f>
        <v>2019/08</v>
      </c>
      <c r="I47" s="3" t="str">
        <f>VLOOKUP(TbProventos[[#This Row],[Ativo]],TbAtivos[],2,FALSE)</f>
        <v>FII</v>
      </c>
    </row>
    <row r="48" spans="1:9" ht="20.100000000000001" customHeight="1" x14ac:dyDescent="0.25">
      <c r="A48" s="3">
        <v>13</v>
      </c>
      <c r="B48" s="3" t="s">
        <v>3</v>
      </c>
      <c r="C48" s="3">
        <v>100</v>
      </c>
      <c r="D48" s="7">
        <v>166</v>
      </c>
      <c r="E48" s="7">
        <v>0</v>
      </c>
      <c r="F48" s="7">
        <v>166</v>
      </c>
      <c r="G48" s="2">
        <v>43723</v>
      </c>
      <c r="H48" s="3" t="str">
        <f>_xlfn.CONCAT(YEAR(TbProventos[[#This Row],[Data]]),"/",IF(MONTH(TbProventos[[#This Row],[Data]])&lt;10,_xlfn.CONCAT(0,MONTH(TbProventos[[#This Row],[Data]])),MONTH(TbProventos[[#This Row],[Data]])))</f>
        <v>2019/09</v>
      </c>
      <c r="I48" s="3" t="str">
        <f>VLOOKUP(TbProventos[[#This Row],[Ativo]],TbAtivos[],2,FALSE)</f>
        <v>EMPRESA</v>
      </c>
    </row>
    <row r="49" spans="1:9" ht="20.100000000000001" customHeight="1" x14ac:dyDescent="0.25">
      <c r="A49" s="3">
        <v>14</v>
      </c>
      <c r="B49" s="3" t="s">
        <v>8</v>
      </c>
      <c r="C49" s="3">
        <v>100</v>
      </c>
      <c r="D49" s="7">
        <v>37.44</v>
      </c>
      <c r="E49" s="7">
        <v>0</v>
      </c>
      <c r="F49" s="7">
        <v>37.44</v>
      </c>
      <c r="G49" s="2">
        <v>43725</v>
      </c>
      <c r="H49" s="3" t="str">
        <f>_xlfn.CONCAT(YEAR(TbProventos[[#This Row],[Data]]),"/",IF(MONTH(TbProventos[[#This Row],[Data]])&lt;10,_xlfn.CONCAT(0,MONTH(TbProventos[[#This Row],[Data]])),MONTH(TbProventos[[#This Row],[Data]])))</f>
        <v>2019/09</v>
      </c>
      <c r="I49" s="3" t="str">
        <f>VLOOKUP(TbProventos[[#This Row],[Ativo]],TbAtivos[],2,FALSE)</f>
        <v>FII</v>
      </c>
    </row>
    <row r="50" spans="1:9" ht="20.100000000000001" customHeight="1" x14ac:dyDescent="0.25">
      <c r="A50" s="3">
        <v>14</v>
      </c>
      <c r="B50" s="3" t="s">
        <v>10</v>
      </c>
      <c r="C50" s="3">
        <v>100</v>
      </c>
      <c r="D50" s="7">
        <v>52.02</v>
      </c>
      <c r="E50" s="7">
        <v>0</v>
      </c>
      <c r="F50" s="7">
        <v>52.02</v>
      </c>
      <c r="G50" s="2">
        <v>43725</v>
      </c>
      <c r="H50" s="3" t="str">
        <f>_xlfn.CONCAT(YEAR(TbProventos[[#This Row],[Data]]),"/",IF(MONTH(TbProventos[[#This Row],[Data]])&lt;10,_xlfn.CONCAT(0,MONTH(TbProventos[[#This Row],[Data]])),MONTH(TbProventos[[#This Row],[Data]])))</f>
        <v>2019/09</v>
      </c>
      <c r="I50" s="3" t="str">
        <f>VLOOKUP(TbProventos[[#This Row],[Ativo]],TbAtivos[],2,FALSE)</f>
        <v>FII</v>
      </c>
    </row>
    <row r="51" spans="1:9" ht="20.100000000000001" customHeight="1" x14ac:dyDescent="0.25">
      <c r="A51" s="3">
        <v>14</v>
      </c>
      <c r="B51" s="3" t="s">
        <v>11</v>
      </c>
      <c r="C51" s="3">
        <v>100</v>
      </c>
      <c r="D51" s="7">
        <v>42.14</v>
      </c>
      <c r="E51" s="7">
        <v>0</v>
      </c>
      <c r="F51" s="7">
        <v>42.14</v>
      </c>
      <c r="G51" s="2">
        <v>43725</v>
      </c>
      <c r="H51" s="3" t="str">
        <f>_xlfn.CONCAT(YEAR(TbProventos[[#This Row],[Data]]),"/",IF(MONTH(TbProventos[[#This Row],[Data]])&lt;10,_xlfn.CONCAT(0,MONTH(TbProventos[[#This Row],[Data]])),MONTH(TbProventos[[#This Row],[Data]])))</f>
        <v>2019/09</v>
      </c>
      <c r="I51" s="3" t="str">
        <f>VLOOKUP(TbProventos[[#This Row],[Ativo]],TbAtivos[],2,FALSE)</f>
        <v>FII</v>
      </c>
    </row>
    <row r="52" spans="1:9" ht="20.100000000000001" customHeight="1" x14ac:dyDescent="0.25">
      <c r="A52" s="3">
        <v>14</v>
      </c>
      <c r="B52" s="3" t="s">
        <v>12</v>
      </c>
      <c r="C52" s="3">
        <v>100</v>
      </c>
      <c r="D52" s="7">
        <v>177.12</v>
      </c>
      <c r="E52" s="7">
        <v>0</v>
      </c>
      <c r="F52" s="7">
        <v>177.12</v>
      </c>
      <c r="G52" s="2">
        <v>43725</v>
      </c>
      <c r="H52" s="3" t="str">
        <f>_xlfn.CONCAT(YEAR(TbProventos[[#This Row],[Data]]),"/",IF(MONTH(TbProventos[[#This Row],[Data]])&lt;10,_xlfn.CONCAT(0,MONTH(TbProventos[[#This Row],[Data]])),MONTH(TbProventos[[#This Row],[Data]])))</f>
        <v>2019/09</v>
      </c>
      <c r="I52" s="3" t="str">
        <f>VLOOKUP(TbProventos[[#This Row],[Ativo]],TbAtivos[],2,FALSE)</f>
        <v>FII</v>
      </c>
    </row>
    <row r="53" spans="1:9" ht="20.100000000000001" customHeight="1" x14ac:dyDescent="0.25">
      <c r="A53" s="3">
        <v>13</v>
      </c>
      <c r="B53" s="3" t="s">
        <v>6</v>
      </c>
      <c r="C53" s="3">
        <v>100</v>
      </c>
      <c r="D53" s="7">
        <v>162.75</v>
      </c>
      <c r="E53" s="7">
        <v>0</v>
      </c>
      <c r="F53" s="7">
        <v>162.75</v>
      </c>
      <c r="G53" s="2">
        <v>43753</v>
      </c>
      <c r="H53" s="3" t="str">
        <f>_xlfn.CONCAT(YEAR(TbProventos[[#This Row],[Data]]),"/",IF(MONTH(TbProventos[[#This Row],[Data]])&lt;10,_xlfn.CONCAT(0,MONTH(TbProventos[[#This Row],[Data]])),MONTH(TbProventos[[#This Row],[Data]])))</f>
        <v>2019/10</v>
      </c>
      <c r="I53" s="3" t="str">
        <f>VLOOKUP(TbProventos[[#This Row],[Ativo]],TbAtivos[],2,FALSE)</f>
        <v>EMPRESA</v>
      </c>
    </row>
    <row r="54" spans="1:9" ht="20.100000000000001" customHeight="1" x14ac:dyDescent="0.25">
      <c r="A54" s="3">
        <v>14</v>
      </c>
      <c r="B54" s="3" t="s">
        <v>8</v>
      </c>
      <c r="C54" s="3">
        <v>100</v>
      </c>
      <c r="D54" s="7">
        <v>61</v>
      </c>
      <c r="E54" s="7">
        <v>0</v>
      </c>
      <c r="F54" s="7">
        <v>61</v>
      </c>
      <c r="G54" s="2">
        <v>43755</v>
      </c>
      <c r="H54" s="3" t="str">
        <f>_xlfn.CONCAT(YEAR(TbProventos[[#This Row],[Data]]),"/",IF(MONTH(TbProventos[[#This Row],[Data]])&lt;10,_xlfn.CONCAT(0,MONTH(TbProventos[[#This Row],[Data]])),MONTH(TbProventos[[#This Row],[Data]])))</f>
        <v>2019/10</v>
      </c>
      <c r="I54" s="3" t="str">
        <f>VLOOKUP(TbProventos[[#This Row],[Ativo]],TbAtivos[],2,FALSE)</f>
        <v>FII</v>
      </c>
    </row>
    <row r="55" spans="1:9" ht="20.100000000000001" customHeight="1" x14ac:dyDescent="0.25">
      <c r="A55" s="3">
        <v>14</v>
      </c>
      <c r="B55" s="3" t="s">
        <v>10</v>
      </c>
      <c r="C55" s="3">
        <v>100</v>
      </c>
      <c r="D55" s="7">
        <v>180.6</v>
      </c>
      <c r="E55" s="7">
        <v>0</v>
      </c>
      <c r="F55" s="7">
        <v>180.6</v>
      </c>
      <c r="G55" s="2">
        <v>43755</v>
      </c>
      <c r="H55" s="3" t="str">
        <f>_xlfn.CONCAT(YEAR(TbProventos[[#This Row],[Data]]),"/",IF(MONTH(TbProventos[[#This Row],[Data]])&lt;10,_xlfn.CONCAT(0,MONTH(TbProventos[[#This Row],[Data]])),MONTH(TbProventos[[#This Row],[Data]])))</f>
        <v>2019/10</v>
      </c>
      <c r="I55" s="3" t="str">
        <f>VLOOKUP(TbProventos[[#This Row],[Ativo]],TbAtivos[],2,FALSE)</f>
        <v>FII</v>
      </c>
    </row>
    <row r="56" spans="1:9" ht="20.100000000000001" customHeight="1" x14ac:dyDescent="0.25">
      <c r="A56" s="3">
        <v>14</v>
      </c>
      <c r="B56" s="3" t="s">
        <v>11</v>
      </c>
      <c r="C56" s="3">
        <v>100</v>
      </c>
      <c r="D56" s="7">
        <v>38.4</v>
      </c>
      <c r="E56" s="7">
        <v>0</v>
      </c>
      <c r="F56" s="7">
        <v>38.4</v>
      </c>
      <c r="G56" s="2">
        <v>43755</v>
      </c>
      <c r="H56" s="3" t="str">
        <f>_xlfn.CONCAT(YEAR(TbProventos[[#This Row],[Data]]),"/",IF(MONTH(TbProventos[[#This Row],[Data]])&lt;10,_xlfn.CONCAT(0,MONTH(TbProventos[[#This Row],[Data]])),MONTH(TbProventos[[#This Row],[Data]])))</f>
        <v>2019/10</v>
      </c>
      <c r="I56" s="3" t="str">
        <f>VLOOKUP(TbProventos[[#This Row],[Ativo]],TbAtivos[],2,FALSE)</f>
        <v>FII</v>
      </c>
    </row>
    <row r="57" spans="1:9" ht="20.100000000000001" customHeight="1" x14ac:dyDescent="0.25">
      <c r="A57" s="3">
        <v>14</v>
      </c>
      <c r="B57" s="3" t="s">
        <v>12</v>
      </c>
      <c r="C57" s="3">
        <v>100</v>
      </c>
      <c r="D57" s="7">
        <v>153.18</v>
      </c>
      <c r="E57" s="7">
        <v>0</v>
      </c>
      <c r="F57" s="7">
        <v>153.18</v>
      </c>
      <c r="G57" s="2">
        <v>43755</v>
      </c>
      <c r="H57" s="3" t="str">
        <f>_xlfn.CONCAT(YEAR(TbProventos[[#This Row],[Data]]),"/",IF(MONTH(TbProventos[[#This Row],[Data]])&lt;10,_xlfn.CONCAT(0,MONTH(TbProventos[[#This Row],[Data]])),MONTH(TbProventos[[#This Row],[Data]])))</f>
        <v>2019/10</v>
      </c>
      <c r="I57" s="3" t="str">
        <f>VLOOKUP(TbProventos[[#This Row],[Ativo]],TbAtivos[],2,FALSE)</f>
        <v>FII</v>
      </c>
    </row>
    <row r="58" spans="1:9" ht="20.100000000000001" customHeight="1" x14ac:dyDescent="0.25">
      <c r="A58" s="3">
        <v>13</v>
      </c>
      <c r="B58" s="3" t="s">
        <v>13</v>
      </c>
      <c r="C58" s="3">
        <v>100</v>
      </c>
      <c r="D58" s="7">
        <v>156.13999999999999</v>
      </c>
      <c r="E58" s="7">
        <v>0</v>
      </c>
      <c r="F58" s="7">
        <v>156.13999999999999</v>
      </c>
      <c r="G58" s="2">
        <v>43753</v>
      </c>
      <c r="H58" s="3" t="str">
        <f>_xlfn.CONCAT(YEAR(TbProventos[[#This Row],[Data]]),"/",IF(MONTH(TbProventos[[#This Row],[Data]])&lt;10,_xlfn.CONCAT(0,MONTH(TbProventos[[#This Row],[Data]])),MONTH(TbProventos[[#This Row],[Data]])))</f>
        <v>2019/10</v>
      </c>
      <c r="I58" s="3" t="str">
        <f>VLOOKUP(TbProventos[[#This Row],[Ativo]],TbAtivos[],2,FALSE)</f>
        <v>EMPRESA</v>
      </c>
    </row>
    <row r="59" spans="1:9" ht="20.100000000000001" customHeight="1" x14ac:dyDescent="0.25">
      <c r="A59" s="3">
        <v>14</v>
      </c>
      <c r="B59" s="3" t="s">
        <v>8</v>
      </c>
      <c r="C59" s="3">
        <v>100</v>
      </c>
      <c r="D59" s="7">
        <v>61</v>
      </c>
      <c r="E59" s="7">
        <v>0</v>
      </c>
      <c r="F59" s="7">
        <v>61</v>
      </c>
      <c r="G59" s="2">
        <v>43755</v>
      </c>
      <c r="H59" s="3" t="str">
        <f>_xlfn.CONCAT(YEAR(TbProventos[[#This Row],[Data]]),"/",IF(MONTH(TbProventos[[#This Row],[Data]])&lt;10,_xlfn.CONCAT(0,MONTH(TbProventos[[#This Row],[Data]])),MONTH(TbProventos[[#This Row],[Data]])))</f>
        <v>2019/10</v>
      </c>
      <c r="I59" s="3" t="str">
        <f>VLOOKUP(TbProventos[[#This Row],[Ativo]],TbAtivos[],2,FALSE)</f>
        <v>FII</v>
      </c>
    </row>
    <row r="60" spans="1:9" ht="20.100000000000001" customHeight="1" x14ac:dyDescent="0.25">
      <c r="A60" s="3">
        <v>14</v>
      </c>
      <c r="B60" s="3" t="s">
        <v>10</v>
      </c>
      <c r="C60" s="3">
        <v>100</v>
      </c>
      <c r="D60" s="7">
        <v>99</v>
      </c>
      <c r="E60" s="7">
        <v>0</v>
      </c>
      <c r="F60" s="7">
        <v>99</v>
      </c>
      <c r="G60" s="2">
        <v>43755</v>
      </c>
      <c r="H60" s="3" t="str">
        <f>_xlfn.CONCAT(YEAR(TbProventos[[#This Row],[Data]]),"/",IF(MONTH(TbProventos[[#This Row],[Data]])&lt;10,_xlfn.CONCAT(0,MONTH(TbProventos[[#This Row],[Data]])),MONTH(TbProventos[[#This Row],[Data]])))</f>
        <v>2019/10</v>
      </c>
      <c r="I60" s="3" t="str">
        <f>VLOOKUP(TbProventos[[#This Row],[Ativo]],TbAtivos[],2,FALSE)</f>
        <v>FII</v>
      </c>
    </row>
    <row r="61" spans="1:9" ht="20.100000000000001" customHeight="1" x14ac:dyDescent="0.25">
      <c r="A61" s="3">
        <v>14</v>
      </c>
      <c r="B61" s="3" t="s">
        <v>11</v>
      </c>
      <c r="C61" s="3">
        <v>100</v>
      </c>
      <c r="D61" s="7">
        <v>99.9</v>
      </c>
      <c r="E61" s="7">
        <v>0</v>
      </c>
      <c r="F61" s="7">
        <v>99.9</v>
      </c>
      <c r="G61" s="2">
        <v>43755</v>
      </c>
      <c r="H61" s="3" t="str">
        <f>_xlfn.CONCAT(YEAR(TbProventos[[#This Row],[Data]]),"/",IF(MONTH(TbProventos[[#This Row],[Data]])&lt;10,_xlfn.CONCAT(0,MONTH(TbProventos[[#This Row],[Data]])),MONTH(TbProventos[[#This Row],[Data]])))</f>
        <v>2019/10</v>
      </c>
      <c r="I61" s="3" t="str">
        <f>VLOOKUP(TbProventos[[#This Row],[Ativo]],TbAtivos[],2,FALSE)</f>
        <v>FII</v>
      </c>
    </row>
    <row r="62" spans="1:9" ht="20.100000000000001" customHeight="1" x14ac:dyDescent="0.25">
      <c r="A62" s="3">
        <v>14</v>
      </c>
      <c r="B62" s="3" t="s">
        <v>12</v>
      </c>
      <c r="C62" s="3">
        <v>100</v>
      </c>
      <c r="D62" s="7">
        <v>98.42</v>
      </c>
      <c r="E62" s="7">
        <v>0</v>
      </c>
      <c r="F62" s="7">
        <v>98.42</v>
      </c>
      <c r="G62" s="2">
        <v>43755</v>
      </c>
      <c r="H62" s="3" t="str">
        <f>_xlfn.CONCAT(YEAR(TbProventos[[#This Row],[Data]]),"/",IF(MONTH(TbProventos[[#This Row],[Data]])&lt;10,_xlfn.CONCAT(0,MONTH(TbProventos[[#This Row],[Data]])),MONTH(TbProventos[[#This Row],[Data]])))</f>
        <v>2019/10</v>
      </c>
      <c r="I62" s="3" t="str">
        <f>VLOOKUP(TbProventos[[#This Row],[Ativo]],TbAtivos[],2,FALSE)</f>
        <v>FII</v>
      </c>
    </row>
    <row r="63" spans="1:9" ht="20.100000000000001" customHeight="1" x14ac:dyDescent="0.25">
      <c r="A63" s="3">
        <v>13</v>
      </c>
      <c r="B63" s="3" t="s">
        <v>6</v>
      </c>
      <c r="C63" s="3">
        <v>100</v>
      </c>
      <c r="D63" s="7">
        <v>166</v>
      </c>
      <c r="E63" s="7">
        <v>0</v>
      </c>
      <c r="F63" s="7">
        <v>166</v>
      </c>
      <c r="G63" s="2">
        <v>43753</v>
      </c>
      <c r="H63" s="3" t="str">
        <f>_xlfn.CONCAT(YEAR(TbProventos[[#This Row],[Data]]),"/",IF(MONTH(TbProventos[[#This Row],[Data]])&lt;10,_xlfn.CONCAT(0,MONTH(TbProventos[[#This Row],[Data]])),MONTH(TbProventos[[#This Row],[Data]])))</f>
        <v>2019/10</v>
      </c>
      <c r="I63" s="3" t="str">
        <f>VLOOKUP(TbProventos[[#This Row],[Ativo]],TbAtivos[],2,FALSE)</f>
        <v>EMPRESA</v>
      </c>
    </row>
    <row r="64" spans="1:9" ht="20.100000000000001" customHeight="1" x14ac:dyDescent="0.25">
      <c r="A64" s="3">
        <v>14</v>
      </c>
      <c r="B64" s="3" t="s">
        <v>8</v>
      </c>
      <c r="C64" s="3">
        <v>100</v>
      </c>
      <c r="D64" s="7">
        <v>37.44</v>
      </c>
      <c r="E64" s="7">
        <v>0</v>
      </c>
      <c r="F64" s="7">
        <v>37.44</v>
      </c>
      <c r="G64" s="2">
        <v>43755</v>
      </c>
      <c r="H64" s="3" t="str">
        <f>_xlfn.CONCAT(YEAR(TbProventos[[#This Row],[Data]]),"/",IF(MONTH(TbProventos[[#This Row],[Data]])&lt;10,_xlfn.CONCAT(0,MONTH(TbProventos[[#This Row],[Data]])),MONTH(TbProventos[[#This Row],[Data]])))</f>
        <v>2019/10</v>
      </c>
      <c r="I64" s="3" t="str">
        <f>VLOOKUP(TbProventos[[#This Row],[Ativo]],TbAtivos[],2,FALSE)</f>
        <v>FII</v>
      </c>
    </row>
    <row r="65" spans="1:9" ht="20.100000000000001" customHeight="1" x14ac:dyDescent="0.25">
      <c r="A65" s="3">
        <v>14</v>
      </c>
      <c r="B65" s="3" t="s">
        <v>10</v>
      </c>
      <c r="C65" s="3">
        <v>100</v>
      </c>
      <c r="D65" s="7">
        <v>52.02</v>
      </c>
      <c r="E65" s="7">
        <v>0</v>
      </c>
      <c r="F65" s="7">
        <v>52.02</v>
      </c>
      <c r="G65" s="2">
        <v>43755</v>
      </c>
      <c r="H65" s="3" t="str">
        <f>_xlfn.CONCAT(YEAR(TbProventos[[#This Row],[Data]]),"/",IF(MONTH(TbProventos[[#This Row],[Data]])&lt;10,_xlfn.CONCAT(0,MONTH(TbProventos[[#This Row],[Data]])),MONTH(TbProventos[[#This Row],[Data]])))</f>
        <v>2019/10</v>
      </c>
      <c r="I65" s="3" t="str">
        <f>VLOOKUP(TbProventos[[#This Row],[Ativo]],TbAtivos[],2,FALSE)</f>
        <v>FII</v>
      </c>
    </row>
    <row r="66" spans="1:9" ht="20.100000000000001" customHeight="1" x14ac:dyDescent="0.25">
      <c r="A66" s="3">
        <v>14</v>
      </c>
      <c r="B66" s="3" t="s">
        <v>11</v>
      </c>
      <c r="C66" s="3">
        <v>100</v>
      </c>
      <c r="D66" s="7">
        <v>42.14</v>
      </c>
      <c r="E66" s="7">
        <v>0</v>
      </c>
      <c r="F66" s="7">
        <v>42.14</v>
      </c>
      <c r="G66" s="2">
        <v>43755</v>
      </c>
      <c r="H66" s="3" t="str">
        <f>_xlfn.CONCAT(YEAR(TbProventos[[#This Row],[Data]]),"/",IF(MONTH(TbProventos[[#This Row],[Data]])&lt;10,_xlfn.CONCAT(0,MONTH(TbProventos[[#This Row],[Data]])),MONTH(TbProventos[[#This Row],[Data]])))</f>
        <v>2019/10</v>
      </c>
      <c r="I66" s="3" t="str">
        <f>VLOOKUP(TbProventos[[#This Row],[Ativo]],TbAtivos[],2,FALSE)</f>
        <v>FII</v>
      </c>
    </row>
    <row r="67" spans="1:9" ht="20.100000000000001" customHeight="1" x14ac:dyDescent="0.25">
      <c r="A67" s="3">
        <v>14</v>
      </c>
      <c r="B67" s="3" t="s">
        <v>12</v>
      </c>
      <c r="C67" s="3">
        <v>100</v>
      </c>
      <c r="D67" s="7">
        <v>177.12</v>
      </c>
      <c r="E67" s="7">
        <v>0</v>
      </c>
      <c r="F67" s="7">
        <v>177.12</v>
      </c>
      <c r="G67" s="2">
        <v>43755</v>
      </c>
      <c r="H67" s="3" t="str">
        <f>_xlfn.CONCAT(YEAR(TbProventos[[#This Row],[Data]]),"/",IF(MONTH(TbProventos[[#This Row],[Data]])&lt;10,_xlfn.CONCAT(0,MONTH(TbProventos[[#This Row],[Data]])),MONTH(TbProventos[[#This Row],[Data]])))</f>
        <v>2019/10</v>
      </c>
      <c r="I67" s="3" t="str">
        <f>VLOOKUP(TbProventos[[#This Row],[Ativo]],TbAtivos[],2,FALSE)</f>
        <v>FII</v>
      </c>
    </row>
    <row r="68" spans="1:9" ht="20.100000000000001" customHeight="1" x14ac:dyDescent="0.25">
      <c r="A68" s="3">
        <v>14</v>
      </c>
      <c r="B68" s="3" t="s">
        <v>13</v>
      </c>
      <c r="C68" s="3">
        <v>100</v>
      </c>
      <c r="D68" s="7">
        <v>162.75</v>
      </c>
      <c r="E68" s="7">
        <v>0</v>
      </c>
      <c r="F68" s="7">
        <v>162.75</v>
      </c>
      <c r="G68" s="2">
        <v>43845</v>
      </c>
      <c r="H68" s="3" t="str">
        <f>_xlfn.CONCAT(YEAR(TbProventos[[#This Row],[Data]]),"/",IF(MONTH(TbProventos[[#This Row],[Data]])&lt;10,_xlfn.CONCAT(0,MONTH(TbProventos[[#This Row],[Data]])),MONTH(TbProventos[[#This Row],[Data]])))</f>
        <v>2020/01</v>
      </c>
      <c r="I68" s="3" t="str">
        <f>VLOOKUP(TbProventos[[#This Row],[Ativo]],TbAtivos[],2,FALSE)</f>
        <v>EMPRESA</v>
      </c>
    </row>
    <row r="69" spans="1:9" ht="20.100000000000001" customHeight="1" x14ac:dyDescent="0.25">
      <c r="A69" s="3">
        <v>14</v>
      </c>
      <c r="B69" s="3" t="s">
        <v>8</v>
      </c>
      <c r="C69" s="3">
        <v>100</v>
      </c>
      <c r="D69" s="7">
        <v>61</v>
      </c>
      <c r="E69" s="7">
        <v>0</v>
      </c>
      <c r="F69" s="7">
        <v>61</v>
      </c>
      <c r="G69" s="2">
        <v>43847</v>
      </c>
      <c r="H69" s="3" t="str">
        <f>_xlfn.CONCAT(YEAR(TbProventos[[#This Row],[Data]]),"/",IF(MONTH(TbProventos[[#This Row],[Data]])&lt;10,_xlfn.CONCAT(0,MONTH(TbProventos[[#This Row],[Data]])),MONTH(TbProventos[[#This Row],[Data]])))</f>
        <v>2020/01</v>
      </c>
      <c r="I69" s="3" t="str">
        <f>VLOOKUP(TbProventos[[#This Row],[Ativo]],TbAtivos[],2,FALSE)</f>
        <v>FII</v>
      </c>
    </row>
    <row r="70" spans="1:9" ht="20.100000000000001" customHeight="1" x14ac:dyDescent="0.25">
      <c r="A70" s="3">
        <v>14</v>
      </c>
      <c r="B70" s="3" t="s">
        <v>10</v>
      </c>
      <c r="C70" s="3">
        <v>100</v>
      </c>
      <c r="D70" s="7">
        <v>180.6</v>
      </c>
      <c r="E70" s="7">
        <v>0</v>
      </c>
      <c r="F70" s="7">
        <v>180.6</v>
      </c>
      <c r="G70" s="2">
        <v>43847</v>
      </c>
      <c r="H70" s="3" t="str">
        <f>_xlfn.CONCAT(YEAR(TbProventos[[#This Row],[Data]]),"/",IF(MONTH(TbProventos[[#This Row],[Data]])&lt;10,_xlfn.CONCAT(0,MONTH(TbProventos[[#This Row],[Data]])),MONTH(TbProventos[[#This Row],[Data]])))</f>
        <v>2020/01</v>
      </c>
      <c r="I70" s="3" t="str">
        <f>VLOOKUP(TbProventos[[#This Row],[Ativo]],TbAtivos[],2,FALSE)</f>
        <v>FII</v>
      </c>
    </row>
    <row r="71" spans="1:9" ht="20.100000000000001" customHeight="1" x14ac:dyDescent="0.25">
      <c r="A71" s="3">
        <v>14</v>
      </c>
      <c r="B71" s="3" t="s">
        <v>11</v>
      </c>
      <c r="C71" s="3">
        <v>100</v>
      </c>
      <c r="D71" s="7">
        <v>38.4</v>
      </c>
      <c r="E71" s="7">
        <v>0</v>
      </c>
      <c r="F71" s="7">
        <v>38.4</v>
      </c>
      <c r="G71" s="2">
        <v>43847</v>
      </c>
      <c r="H71" s="3" t="str">
        <f>_xlfn.CONCAT(YEAR(TbProventos[[#This Row],[Data]]),"/",IF(MONTH(TbProventos[[#This Row],[Data]])&lt;10,_xlfn.CONCAT(0,MONTH(TbProventos[[#This Row],[Data]])),MONTH(TbProventos[[#This Row],[Data]])))</f>
        <v>2020/01</v>
      </c>
      <c r="I71" s="3" t="str">
        <f>VLOOKUP(TbProventos[[#This Row],[Ativo]],TbAtivos[],2,FALSE)</f>
        <v>FII</v>
      </c>
    </row>
    <row r="72" spans="1:9" ht="20.100000000000001" customHeight="1" x14ac:dyDescent="0.25">
      <c r="A72" s="3">
        <v>14</v>
      </c>
      <c r="B72" s="3" t="s">
        <v>12</v>
      </c>
      <c r="C72" s="3">
        <v>100</v>
      </c>
      <c r="D72" s="7">
        <v>153.18</v>
      </c>
      <c r="E72" s="7">
        <v>0</v>
      </c>
      <c r="F72" s="7">
        <v>153.18</v>
      </c>
      <c r="G72" s="2">
        <v>43847</v>
      </c>
      <c r="H72" s="3" t="str">
        <f>_xlfn.CONCAT(YEAR(TbProventos[[#This Row],[Data]]),"/",IF(MONTH(TbProventos[[#This Row],[Data]])&lt;10,_xlfn.CONCAT(0,MONTH(TbProventos[[#This Row],[Data]])),MONTH(TbProventos[[#This Row],[Data]])))</f>
        <v>2020/01</v>
      </c>
      <c r="I72" s="3" t="str">
        <f>VLOOKUP(TbProventos[[#This Row],[Ativo]],TbAtivos[],2,FALSE)</f>
        <v>FII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947E2-8AD8-4CE3-8D1D-B9B8E94739A4}">
  <dimension ref="A1:C10"/>
  <sheetViews>
    <sheetView workbookViewId="0">
      <selection activeCell="B4" sqref="B4"/>
    </sheetView>
  </sheetViews>
  <sheetFormatPr defaultRowHeight="15" x14ac:dyDescent="0.25"/>
  <cols>
    <col min="1" max="1" width="8.5703125" bestFit="1" customWidth="1"/>
    <col min="2" max="2" width="9.42578125" bestFit="1" customWidth="1"/>
    <col min="3" max="3" width="12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16.07</v>
      </c>
    </row>
    <row r="3" spans="1:3" x14ac:dyDescent="0.25">
      <c r="A3" t="s">
        <v>5</v>
      </c>
      <c r="B3" t="s">
        <v>4</v>
      </c>
      <c r="C3">
        <v>15.42</v>
      </c>
    </row>
    <row r="4" spans="1:3" x14ac:dyDescent="0.25">
      <c r="A4" t="s">
        <v>6</v>
      </c>
      <c r="B4" t="s">
        <v>4</v>
      </c>
      <c r="C4">
        <v>10.3</v>
      </c>
    </row>
    <row r="5" spans="1:3" x14ac:dyDescent="0.25">
      <c r="A5" t="s">
        <v>7</v>
      </c>
      <c r="B5" t="s">
        <v>4</v>
      </c>
      <c r="C5">
        <v>36.5</v>
      </c>
    </row>
    <row r="6" spans="1:3" x14ac:dyDescent="0.25">
      <c r="A6" t="s">
        <v>8</v>
      </c>
      <c r="B6" t="s">
        <v>9</v>
      </c>
      <c r="C6">
        <v>229.53</v>
      </c>
    </row>
    <row r="7" spans="1:3" x14ac:dyDescent="0.25">
      <c r="A7" t="s">
        <v>10</v>
      </c>
      <c r="B7" t="s">
        <v>9</v>
      </c>
      <c r="C7">
        <v>169.66</v>
      </c>
    </row>
    <row r="8" spans="1:3" x14ac:dyDescent="0.25">
      <c r="A8" t="s">
        <v>11</v>
      </c>
      <c r="B8" t="s">
        <v>9</v>
      </c>
      <c r="C8">
        <v>128.81</v>
      </c>
    </row>
    <row r="9" spans="1:3" x14ac:dyDescent="0.25">
      <c r="A9" t="s">
        <v>12</v>
      </c>
      <c r="B9" t="s">
        <v>9</v>
      </c>
      <c r="C9">
        <v>164.75</v>
      </c>
    </row>
    <row r="10" spans="1:3" x14ac:dyDescent="0.25">
      <c r="A10" t="s">
        <v>13</v>
      </c>
      <c r="B10" t="s">
        <v>4</v>
      </c>
      <c r="C10">
        <v>11.92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2DE0513-7EA6-4736-B24A-2D1E3938C8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Dashboard</vt:lpstr>
      <vt:lpstr>DashboardAux</vt:lpstr>
      <vt:lpstr>ReCarteira</vt:lpstr>
      <vt:lpstr>ReCarteiraAções</vt:lpstr>
      <vt:lpstr>ReCarteiraFII</vt:lpstr>
      <vt:lpstr>ReProventos</vt:lpstr>
      <vt:lpstr>ReAportes</vt:lpstr>
      <vt:lpstr>TbAportes</vt:lpstr>
      <vt:lpstr>TbProventos</vt:lpstr>
      <vt:lpstr>TbAtivos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Giovany Almeida</dc:creator>
  <cp:lastModifiedBy>Giovany Almeida</cp:lastModifiedBy>
  <dcterms:created xsi:type="dcterms:W3CDTF">2024-03-08T14:28:56Z</dcterms:created>
  <dcterms:modified xsi:type="dcterms:W3CDTF">2024-03-14T15:46:31Z</dcterms:modified>
</cp:coreProperties>
</file>