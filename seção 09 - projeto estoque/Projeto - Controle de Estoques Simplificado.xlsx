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esktop\"/>
    </mc:Choice>
  </mc:AlternateContent>
  <xr:revisionPtr revIDLastSave="0" documentId="13_ncr:1_{FBF332B1-F5D2-441B-A5BE-BF0E7D76BC58}" xr6:coauthVersionLast="47" xr6:coauthVersionMax="47" xr10:uidLastSave="{00000000-0000-0000-0000-000000000000}"/>
  <bookViews>
    <workbookView xWindow="-120" yWindow="-120" windowWidth="20730" windowHeight="11160" xr2:uid="{733145B2-7A80-4790-A38F-B7A44CE816B9}"/>
  </bookViews>
  <sheets>
    <sheet name="Início" sheetId="1" r:id="rId1"/>
    <sheet name="Cadastro" sheetId="6" r:id="rId2"/>
    <sheet name="Lançamentos" sheetId="7" r:id="rId3"/>
  </sheets>
  <definedNames>
    <definedName name="ColunaProdutos">TbCadastro[PRODUTO]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E8" i="7"/>
  <c r="E4" i="7"/>
  <c r="E5" i="7"/>
  <c r="E6" i="7"/>
  <c r="E7" i="7"/>
  <c r="E4" i="6"/>
  <c r="F4" i="6" s="1"/>
  <c r="E5" i="6"/>
  <c r="F5" i="6" s="1"/>
  <c r="E6" i="6"/>
  <c r="F6" i="6" s="1"/>
  <c r="B10" i="7"/>
  <c r="D10" i="7"/>
  <c r="C10" i="7"/>
  <c r="E10" i="7" l="1"/>
</calcChain>
</file>

<file path=xl/sharedStrings.xml><?xml version="1.0" encoding="utf-8"?>
<sst xmlns="http://schemas.openxmlformats.org/spreadsheetml/2006/main" count="24" uniqueCount="14">
  <si>
    <t>PRODUTO</t>
  </si>
  <si>
    <t>MEDIDA</t>
  </si>
  <si>
    <t>SALDO</t>
  </si>
  <si>
    <t>AVISOS</t>
  </si>
  <si>
    <t>Unidade</t>
  </si>
  <si>
    <t>DATA</t>
  </si>
  <si>
    <t>ENTRADA</t>
  </si>
  <si>
    <t>SAÍDA</t>
  </si>
  <si>
    <t>ESTOUQUE 
MÍNIMO</t>
  </si>
  <si>
    <t>ESTOQUE 
MÁXIMO</t>
  </si>
  <si>
    <t>Caneta esferográfica azul</t>
  </si>
  <si>
    <t>Total</t>
  </si>
  <si>
    <t>Caneta esferográfica preta</t>
  </si>
  <si>
    <t>Caneta esferográfica vermelha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</si>
</sst>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1" fontId="0" fillId="0" borderId="0" xfId="0" applyNumberFormat="1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right" vertical="top"/>
    </xf>
    <xf numFmtId="14" fontId="0" fillId="0" borderId="0" xfId="0" applyNumberFormat="1"/>
    <xf numFmtId="0" fontId="1" fillId="2" borderId="1" xfId="0" applyFont="1" applyFill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14" fontId="0" fillId="2" borderId="0" xfId="0" applyNumberFormat="1" applyFill="1"/>
    <xf numFmtId="1" fontId="0" fillId="2" borderId="0" xfId="0" applyNumberFormat="1" applyFill="1"/>
    <xf numFmtId="1" fontId="2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1" fontId="1" fillId="2" borderId="0" xfId="0" applyNumberFormat="1" applyFont="1" applyFill="1" applyAlignment="1">
      <alignment vertical="top" wrapText="1"/>
    </xf>
    <xf numFmtId="1" fontId="1" fillId="2" borderId="1" xfId="0" applyNumberFormat="1" applyFont="1" applyFill="1" applyBorder="1" applyAlignment="1">
      <alignment horizontal="right" vertical="top"/>
    </xf>
    <xf numFmtId="1" fontId="1" fillId="2" borderId="0" xfId="0" applyNumberFormat="1" applyFont="1" applyFill="1" applyAlignment="1">
      <alignment horizontal="right" vertical="top"/>
    </xf>
    <xf numFmtId="0" fontId="0" fillId="2" borderId="0" xfId="0" applyFont="1" applyFill="1"/>
  </cellXfs>
  <cellStyles count="1">
    <cellStyle name="Normal" xfId="0" builtinId="0"/>
  </cellStyles>
  <dxfs count="26">
    <dxf>
      <font>
        <b/>
        <i val="0"/>
        <color rgb="FFFFC000"/>
      </font>
      <fill>
        <patternFill>
          <bgColor theme="2" tint="-0.749961851863155"/>
        </patternFill>
      </fill>
    </dxf>
    <dxf>
      <font>
        <b/>
        <i val="0"/>
        <color rgb="FFFF0000"/>
      </font>
    </dxf>
    <dxf>
      <font>
        <b val="0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" formatCode="0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vertical="top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numFmt numFmtId="1" formatCode="0"/>
    </dxf>
    <dxf>
      <numFmt numFmtId="1" formatCode="0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C000"/>
      </font>
      <fill>
        <patternFill>
          <bgColor theme="2" tint="-0.7499618518631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numFmt numFmtId="1" formatCode="0"/>
      <fill>
        <patternFill patternType="solid">
          <fgColor indexed="64"/>
          <bgColor theme="0" tint="-0.14999847407452621"/>
        </patternFill>
      </fill>
    </dxf>
    <dxf>
      <numFmt numFmtId="1" formatCode="0"/>
    </dxf>
    <dxf>
      <numFmt numFmtId="1" formatCode="0"/>
    </dxf>
    <dxf>
      <numFmt numFmtId="19" formatCode="dd/mm/yyyy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Cadastro!$E$3</c:f>
              <c:strCache>
                <c:ptCount val="1"/>
                <c:pt idx="0">
                  <c:v>SALDO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8C-46E4-9E4D-D801D6DA58A3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Cadastro!$A$4:$A$7</c:f>
              <c:strCache>
                <c:ptCount val="3"/>
                <c:pt idx="0">
                  <c:v>Caneta esferográfica azul</c:v>
                </c:pt>
                <c:pt idx="1">
                  <c:v>Caneta esferográfica preta</c:v>
                </c:pt>
                <c:pt idx="2">
                  <c:v>Caneta esferográfica vermelha</c:v>
                </c:pt>
              </c:strCache>
            </c:strRef>
          </c:cat>
          <c:val>
            <c:numRef>
              <c:f>Cadastro!$E$4:$E$7</c:f>
              <c:numCache>
                <c:formatCode>0</c:formatCode>
                <c:ptCount val="4"/>
                <c:pt idx="0">
                  <c:v>10</c:v>
                </c:pt>
                <c:pt idx="1">
                  <c:v>38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C-46E4-9E4D-D801D6DA5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G1"/><Relationship Id="rId1" Type="http://schemas.openxmlformats.org/officeDocument/2006/relationships/hyperlink" Target="#Cadastro!G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#Lan&#231;amentos!G1"/><Relationship Id="rId1" Type="http://schemas.openxmlformats.org/officeDocument/2006/relationships/hyperlink" Target="#In&#237;cio!G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dastro!G1"/><Relationship Id="rId1" Type="http://schemas.openxmlformats.org/officeDocument/2006/relationships/hyperlink" Target="#In&#237;cio!G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104775</xdr:rowOff>
    </xdr:from>
    <xdr:to>
      <xdr:col>0</xdr:col>
      <xdr:colOff>2314575</xdr:colOff>
      <xdr:row>1</xdr:row>
      <xdr:rowOff>0</xdr:rowOff>
    </xdr:to>
    <xdr:sp macro="" textlink="">
      <xdr:nvSpPr>
        <xdr:cNvPr id="2" name="Rectangle: Top Corners Snipped 1">
          <a:extLst>
            <a:ext uri="{FF2B5EF4-FFF2-40B4-BE49-F238E27FC236}">
              <a16:creationId xmlns:a16="http://schemas.microsoft.com/office/drawing/2014/main" id="{EA689570-998E-3470-85D2-8F343DC7E0F5}"/>
            </a:ext>
          </a:extLst>
        </xdr:cNvPr>
        <xdr:cNvSpPr/>
      </xdr:nvSpPr>
      <xdr:spPr>
        <a:xfrm>
          <a:off x="590550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2443163</xdr:colOff>
      <xdr:row>0</xdr:row>
      <xdr:rowOff>104775</xdr:rowOff>
    </xdr:from>
    <xdr:to>
      <xdr:col>2</xdr:col>
      <xdr:colOff>404813</xdr:colOff>
      <xdr:row>1</xdr:row>
      <xdr:rowOff>0</xdr:rowOff>
    </xdr:to>
    <xdr:sp macro="" textlink="">
      <xdr:nvSpPr>
        <xdr:cNvPr id="3" name="Rectangle: Top Corners Snipped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082E8B-DB19-4818-A9E3-0425445B92CF}"/>
            </a:ext>
          </a:extLst>
        </xdr:cNvPr>
        <xdr:cNvSpPr/>
      </xdr:nvSpPr>
      <xdr:spPr>
        <a:xfrm>
          <a:off x="2443163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2</xdr:col>
      <xdr:colOff>533400</xdr:colOff>
      <xdr:row>0</xdr:row>
      <xdr:rowOff>104775</xdr:rowOff>
    </xdr:from>
    <xdr:to>
      <xdr:col>4</xdr:col>
      <xdr:colOff>161925</xdr:colOff>
      <xdr:row>1</xdr:row>
      <xdr:rowOff>0</xdr:rowOff>
    </xdr:to>
    <xdr:sp macro="" textlink="">
      <xdr:nvSpPr>
        <xdr:cNvPr id="4" name="Rectangle: Top Corners Snipped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D9CE56-2324-4013-971D-55948ED7B5A3}"/>
            </a:ext>
          </a:extLst>
        </xdr:cNvPr>
        <xdr:cNvSpPr/>
      </xdr:nvSpPr>
      <xdr:spPr>
        <a:xfrm>
          <a:off x="4295775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>
    <xdr:from>
      <xdr:col>2</xdr:col>
      <xdr:colOff>347662</xdr:colOff>
      <xdr:row>3</xdr:row>
      <xdr:rowOff>133349</xdr:rowOff>
    </xdr:from>
    <xdr:to>
      <xdr:col>6</xdr:col>
      <xdr:colOff>214312</xdr:colOff>
      <xdr:row>7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71C7DF-8413-E206-1FA0-F2496F29B7D7}"/>
            </a:ext>
          </a:extLst>
        </xdr:cNvPr>
        <xdr:cNvSpPr txBox="1"/>
      </xdr:nvSpPr>
      <xdr:spPr>
        <a:xfrm>
          <a:off x="4110037" y="1019174"/>
          <a:ext cx="4057650" cy="8001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latin typeface="Calibri" panose="020F0502020204030204" pitchFamily="34" charset="0"/>
              <a:cs typeface="Calibri" panose="020F0502020204030204" pitchFamily="34" charset="0"/>
            </a:rPr>
            <a:t>CONTROLE DE ESTOQUES </a:t>
          </a:r>
          <a:r>
            <a:rPr lang="en-US" sz="2000" b="1">
              <a:ln>
                <a:noFill/>
              </a:ln>
              <a:latin typeface="Calibri" panose="020F0502020204030204" pitchFamily="34" charset="0"/>
              <a:cs typeface="Calibri" panose="020F0502020204030204" pitchFamily="34" charset="0"/>
            </a:rPr>
            <a:t>SIMPLIFICADO</a:t>
          </a:r>
        </a:p>
      </xdr:txBody>
    </xdr:sp>
    <xdr:clientData/>
  </xdr:twoCellAnchor>
  <xdr:twoCellAnchor>
    <xdr:from>
      <xdr:col>2</xdr:col>
      <xdr:colOff>209550</xdr:colOff>
      <xdr:row>9</xdr:row>
      <xdr:rowOff>0</xdr:rowOff>
    </xdr:from>
    <xdr:to>
      <xdr:col>6</xdr:col>
      <xdr:colOff>352425</xdr:colOff>
      <xdr:row>15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D5D1F2-1699-519F-4C3D-6D70614B0399}"/>
            </a:ext>
          </a:extLst>
        </xdr:cNvPr>
        <xdr:cNvSpPr txBox="1"/>
      </xdr:nvSpPr>
      <xdr:spPr>
        <a:xfrm>
          <a:off x="3971925" y="2028825"/>
          <a:ext cx="4333875" cy="1228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Calibri" panose="020F0502020204030204" pitchFamily="34" charset="0"/>
              <a:cs typeface="Calibri" panose="020F0502020204030204" pitchFamily="34" charset="0"/>
            </a:rPr>
            <a:t>ORIENTAÇÕES</a:t>
          </a:r>
        </a:p>
        <a:p>
          <a:pPr algn="ctr"/>
          <a:endParaRPr lang="en-US" sz="1200" b="1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1. Cadastrar o produto na aba "Cadastro".</a:t>
          </a:r>
        </a:p>
        <a:p>
          <a:pPr algn="ctr"/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 2. Registrar as entradas e saídas na aba "Lançamentos". </a:t>
          </a:r>
        </a:p>
        <a:p>
          <a:pPr algn="ctr"/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3. Relatórios e consultas usar os filtros nas abas "Cadastro" e "Lançamentos"</a:t>
          </a:r>
          <a:endParaRPr lang="en-US" sz="12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104775</xdr:rowOff>
    </xdr:from>
    <xdr:to>
      <xdr:col>0</xdr:col>
      <xdr:colOff>2314575</xdr:colOff>
      <xdr:row>1</xdr:row>
      <xdr:rowOff>0</xdr:rowOff>
    </xdr:to>
    <xdr:sp macro="" textlink="">
      <xdr:nvSpPr>
        <xdr:cNvPr id="2" name="Rectangle: Top Corners Snipped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D7B664-1878-41C7-B1DD-E896B0C42268}"/>
            </a:ext>
          </a:extLst>
        </xdr:cNvPr>
        <xdr:cNvSpPr/>
      </xdr:nvSpPr>
      <xdr:spPr>
        <a:xfrm>
          <a:off x="590550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2443163</xdr:colOff>
      <xdr:row>0</xdr:row>
      <xdr:rowOff>104775</xdr:rowOff>
    </xdr:from>
    <xdr:to>
      <xdr:col>2</xdr:col>
      <xdr:colOff>404813</xdr:colOff>
      <xdr:row>1</xdr:row>
      <xdr:rowOff>0</xdr:rowOff>
    </xdr:to>
    <xdr:sp macro="" textlink="">
      <xdr:nvSpPr>
        <xdr:cNvPr id="3" name="Rectangle: Top Corners Snipped 2">
          <a:extLst>
            <a:ext uri="{FF2B5EF4-FFF2-40B4-BE49-F238E27FC236}">
              <a16:creationId xmlns:a16="http://schemas.microsoft.com/office/drawing/2014/main" id="{4416185D-7A00-42A9-A051-5C7307EB1F4A}"/>
            </a:ext>
          </a:extLst>
        </xdr:cNvPr>
        <xdr:cNvSpPr/>
      </xdr:nvSpPr>
      <xdr:spPr>
        <a:xfrm>
          <a:off x="2443163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Cadastro</a:t>
          </a:r>
        </a:p>
      </xdr:txBody>
    </xdr:sp>
    <xdr:clientData/>
  </xdr:twoCellAnchor>
  <xdr:twoCellAnchor>
    <xdr:from>
      <xdr:col>2</xdr:col>
      <xdr:colOff>533400</xdr:colOff>
      <xdr:row>0</xdr:row>
      <xdr:rowOff>104775</xdr:rowOff>
    </xdr:from>
    <xdr:to>
      <xdr:col>4</xdr:col>
      <xdr:colOff>161925</xdr:colOff>
      <xdr:row>1</xdr:row>
      <xdr:rowOff>0</xdr:rowOff>
    </xdr:to>
    <xdr:sp macro="" textlink="">
      <xdr:nvSpPr>
        <xdr:cNvPr id="4" name="Rectangle: Top Corners Snipped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A18B84-0878-4438-9384-F62AFC84AB5F}"/>
            </a:ext>
          </a:extLst>
        </xdr:cNvPr>
        <xdr:cNvSpPr/>
      </xdr:nvSpPr>
      <xdr:spPr>
        <a:xfrm>
          <a:off x="4295775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 editAs="absolute">
    <xdr:from>
      <xdr:col>6</xdr:col>
      <xdr:colOff>276225</xdr:colOff>
      <xdr:row>2</xdr:row>
      <xdr:rowOff>304799</xdr:rowOff>
    </xdr:from>
    <xdr:to>
      <xdr:col>6</xdr:col>
      <xdr:colOff>3762375</xdr:colOff>
      <xdr:row>15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2B47BD-E2BA-024E-B11F-D7E60381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276225</xdr:colOff>
      <xdr:row>1</xdr:row>
      <xdr:rowOff>171450</xdr:rowOff>
    </xdr:from>
    <xdr:to>
      <xdr:col>6</xdr:col>
      <xdr:colOff>3771900</xdr:colOff>
      <xdr:row>2</xdr:row>
      <xdr:rowOff>247650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614442-BF38-5A9E-4E68-11C0FAFEE9B7}"/>
            </a:ext>
          </a:extLst>
        </xdr:cNvPr>
        <xdr:cNvSpPr txBox="1"/>
      </xdr:nvSpPr>
      <xdr:spPr>
        <a:xfrm>
          <a:off x="8696325" y="676275"/>
          <a:ext cx="349567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COMPOSIÇÃO DO SALDO ATUAL DO ESTOQUE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104775</xdr:rowOff>
    </xdr:from>
    <xdr:to>
      <xdr:col>0</xdr:col>
      <xdr:colOff>2314575</xdr:colOff>
      <xdr:row>1</xdr:row>
      <xdr:rowOff>0</xdr:rowOff>
    </xdr:to>
    <xdr:sp macro="" textlink="">
      <xdr:nvSpPr>
        <xdr:cNvPr id="2" name="Rectangle: Top Corners Snipped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A1C85C-6415-46B1-8592-FF8348985EDF}"/>
            </a:ext>
          </a:extLst>
        </xdr:cNvPr>
        <xdr:cNvSpPr/>
      </xdr:nvSpPr>
      <xdr:spPr>
        <a:xfrm>
          <a:off x="590550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2443163</xdr:colOff>
      <xdr:row>0</xdr:row>
      <xdr:rowOff>104775</xdr:rowOff>
    </xdr:from>
    <xdr:to>
      <xdr:col>2</xdr:col>
      <xdr:colOff>404813</xdr:colOff>
      <xdr:row>1</xdr:row>
      <xdr:rowOff>0</xdr:rowOff>
    </xdr:to>
    <xdr:sp macro="" textlink="">
      <xdr:nvSpPr>
        <xdr:cNvPr id="3" name="Rectangle: Top Corners Snipped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2EF8AE-1937-4A64-8724-56313235BCCA}"/>
            </a:ext>
          </a:extLst>
        </xdr:cNvPr>
        <xdr:cNvSpPr/>
      </xdr:nvSpPr>
      <xdr:spPr>
        <a:xfrm>
          <a:off x="2443163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2</xdr:col>
      <xdr:colOff>533400</xdr:colOff>
      <xdr:row>0</xdr:row>
      <xdr:rowOff>104775</xdr:rowOff>
    </xdr:from>
    <xdr:to>
      <xdr:col>4</xdr:col>
      <xdr:colOff>161925</xdr:colOff>
      <xdr:row>1</xdr:row>
      <xdr:rowOff>0</xdr:rowOff>
    </xdr:to>
    <xdr:sp macro="" textlink="">
      <xdr:nvSpPr>
        <xdr:cNvPr id="4" name="Rectangle: Top Corners Snipped 3">
          <a:extLst>
            <a:ext uri="{FF2B5EF4-FFF2-40B4-BE49-F238E27FC236}">
              <a16:creationId xmlns:a16="http://schemas.microsoft.com/office/drawing/2014/main" id="{9A0D52FD-38F7-438F-ABD5-A9FCA9CD0E22}"/>
            </a:ext>
          </a:extLst>
        </xdr:cNvPr>
        <xdr:cNvSpPr/>
      </xdr:nvSpPr>
      <xdr:spPr>
        <a:xfrm>
          <a:off x="4295775" y="104775"/>
          <a:ext cx="1724025" cy="40005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Lançamentos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85DC9B-1BCB-4ACA-9690-BF923930A988}" name="TbCadastro" displayName="TbCadastro" ref="A3:F6" headerRowDxfId="8">
  <autoFilter ref="A3:F6" xr:uid="{CD85DC9B-1BCB-4ACA-9690-BF923930A988}"/>
  <tableColumns count="6">
    <tableColumn id="1" xr3:uid="{5D00755F-9D97-4CF6-9D52-465C4336B408}" name="PRODUTO" totalsRowLabel="Total"/>
    <tableColumn id="2" xr3:uid="{BADB7FFF-3E76-4F92-A297-7C3A7762B900}" name="MEDIDA"/>
    <tableColumn id="3" xr3:uid="{8B353C02-37FF-419B-85AE-E3843D3BE4CD}" name="ESTOUQUE _x000a_MÍNIMO" dataDxfId="7"/>
    <tableColumn id="4" xr3:uid="{4B4044A9-133B-4851-ADAA-4CD10EB22BD4}" name="ESTOQUE _x000a_MÁXIMO" dataDxfId="6"/>
    <tableColumn id="5" xr3:uid="{DFE025F2-CC91-433D-92A1-25CD08479D1F}" name="SALDO" dataDxfId="4" totalsRowDxfId="5">
      <calculatedColumnFormula>SUMIF(TbLançamentos[PRODUTO],TbCadastro[[#This Row],[PRODUTO]],TbLançamentos[ENTRADA])-SUMIF(TbLançamentos[PRODUTO],TbCadastro[[#This Row],[PRODUTO]],TbLançamentos[SAÍDA])</calculatedColumnFormula>
    </tableColumn>
    <tableColumn id="6" xr3:uid="{7894CCD0-8232-488C-BD24-4243EEF00198}" name="AVISOS" totalsRowFunction="count" dataDxfId="2" totalsRowDxfId="3">
      <calculatedColumnFormula>IF(TbCadastro[[#This Row],[SALDO]]&lt;TbCadastro[[#This Row],[ESTOUQUE 
MÍNIMO]],"Solicitar nova compra!",IF(TbCadastro[[#This Row],[SALDO]]&gt;TbCadastro[[#This Row],[ESTOQUE 
MÁXIMO]],"Priorizar venda!",""))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FE2AD4-03C3-42D8-8B97-FC53B6808F91}" name="TbLançamentos" displayName="TbLançamentos" ref="A3:E10" totalsRowCount="1" headerRowDxfId="25" tableBorderDxfId="24">
  <autoFilter ref="A3:E9" xr:uid="{05FE2AD4-03C3-42D8-8B97-FC53B6808F91}"/>
  <tableColumns count="5">
    <tableColumn id="1" xr3:uid="{8C27BD90-1F77-4683-AC84-5AF0154CEFC7}" name="PRODUTO" totalsRowLabel="Total"/>
    <tableColumn id="2" xr3:uid="{F8D6F334-4C52-4D00-9F80-02B3C185502E}" name="DATA" totalsRowFunction="count" dataDxfId="23"/>
    <tableColumn id="3" xr3:uid="{415169A4-5B69-44E0-9BF4-8AF219E05C1C}" name="ENTRADA" totalsRowFunction="sum" dataDxfId="22" totalsRowDxfId="11"/>
    <tableColumn id="4" xr3:uid="{D66E94F5-EBFB-411D-AA85-E0897E2CC7D4}" name="SAÍDA" totalsRowFunction="sum" dataDxfId="21" totalsRowDxfId="10"/>
    <tableColumn id="5" xr3:uid="{DF377B8F-6FEF-4CC5-B614-6ECCA55B6791}" name="SALDO" totalsRowFunction="count" dataDxfId="20" totalsRowDxfId="9">
      <calculatedColumnFormula>SUMIFS(TbLançamentos[ENTRADA],TbLançamentos[PRODUTO],TbLançamentos[[#This Row],[PRODUTO]],TbLançamentos[DATA],"&lt;="&amp;TbLançamentos[[#This Row],[DATA]])-SUMIFS(TbLançamentos[SAÍDA],TbLançamentos[PRODUTO],TbLançamentos[[#This Row],[PRODUTO]],TbLançamentos[DATA],"&lt;="&amp;TbLançamentos[[#This Row],[DATA]])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F343-14D1-4B66-B894-C836A721CD4E}">
  <dimension ref="A1"/>
  <sheetViews>
    <sheetView showGridLines="0" tabSelected="1" workbookViewId="0">
      <selection activeCell="G1" sqref="G1"/>
    </sheetView>
  </sheetViews>
  <sheetFormatPr defaultColWidth="0" defaultRowHeight="15" x14ac:dyDescent="0.25"/>
  <cols>
    <col min="1" max="1" width="40.7109375" customWidth="1"/>
    <col min="2" max="5" width="15.7109375" customWidth="1"/>
    <col min="6" max="6" width="22.7109375" customWidth="1"/>
    <col min="7" max="7" width="57.7109375" customWidth="1"/>
    <col min="8" max="16384" width="9.140625" hidden="1"/>
  </cols>
  <sheetData>
    <row r="1" s="1" customFormat="1" ht="39.950000000000003" customHeight="1" x14ac:dyDescent="0.25"/>
  </sheetData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6DE7-CE31-400D-B3A4-CFBD499BE897}">
  <dimension ref="A1:G6"/>
  <sheetViews>
    <sheetView showGridLines="0" workbookViewId="0">
      <selection activeCell="G1" sqref="G1"/>
    </sheetView>
  </sheetViews>
  <sheetFormatPr defaultColWidth="0" defaultRowHeight="15" x14ac:dyDescent="0.25"/>
  <cols>
    <col min="1" max="1" width="40.7109375" customWidth="1"/>
    <col min="2" max="2" width="15.7109375" customWidth="1"/>
    <col min="3" max="5" width="15.7109375" style="3" customWidth="1"/>
    <col min="6" max="6" width="22.7109375" customWidth="1"/>
    <col min="7" max="7" width="57.7109375" customWidth="1"/>
    <col min="8" max="16384" width="9.140625" hidden="1"/>
  </cols>
  <sheetData>
    <row r="1" spans="1:7" s="1" customFormat="1" ht="39.950000000000003" customHeight="1" x14ac:dyDescent="0.25">
      <c r="C1" s="10"/>
      <c r="D1" s="10"/>
      <c r="E1" s="10"/>
    </row>
    <row r="3" spans="1:7" s="1" customFormat="1" ht="32.25" customHeight="1" x14ac:dyDescent="0.25">
      <c r="A3" s="4" t="s">
        <v>0</v>
      </c>
      <c r="B3" s="4" t="s">
        <v>1</v>
      </c>
      <c r="C3" s="13" t="s">
        <v>8</v>
      </c>
      <c r="D3" s="13" t="s">
        <v>9</v>
      </c>
      <c r="E3" s="15" t="s">
        <v>2</v>
      </c>
      <c r="F3" s="5" t="s">
        <v>3</v>
      </c>
      <c r="G3" s="2"/>
    </row>
    <row r="4" spans="1:7" x14ac:dyDescent="0.25">
      <c r="A4" t="s">
        <v>10</v>
      </c>
      <c r="B4" t="s">
        <v>4</v>
      </c>
      <c r="C4" s="3">
        <v>15</v>
      </c>
      <c r="D4" s="3">
        <v>150</v>
      </c>
      <c r="E4" s="10">
        <f>SUMIF(TbLançamentos[PRODUTO],TbCadastro[[#This Row],[PRODUTO]],TbLançamentos[ENTRADA])-SUMIF(TbLançamentos[PRODUTO],TbCadastro[[#This Row],[PRODUTO]],TbLançamentos[SAÍDA])</f>
        <v>10</v>
      </c>
      <c r="F4" s="16" t="str">
        <f>IF(TbCadastro[[#This Row],[SALDO]]&lt;TbCadastro[[#This Row],[ESTOUQUE 
MÍNIMO]],"Solicitar nova compra!",IF(TbCadastro[[#This Row],[SALDO]]&gt;TbCadastro[[#This Row],[ESTOQUE 
MÁXIMO]],"Priorizar venda!",""))</f>
        <v>Solicitar nova compra!</v>
      </c>
    </row>
    <row r="5" spans="1:7" x14ac:dyDescent="0.25">
      <c r="A5" t="s">
        <v>12</v>
      </c>
      <c r="B5" t="s">
        <v>4</v>
      </c>
      <c r="C5" s="3">
        <v>15</v>
      </c>
      <c r="D5" s="3">
        <v>150</v>
      </c>
      <c r="E5" s="10">
        <f>SUMIF(TbLançamentos[PRODUTO],TbCadastro[[#This Row],[PRODUTO]],TbLançamentos[ENTRADA])-SUMIF(TbLançamentos[PRODUTO],TbCadastro[[#This Row],[PRODUTO]],TbLançamentos[SAÍDA])</f>
        <v>38</v>
      </c>
      <c r="F5" s="16" t="str">
        <f>IF(TbCadastro[[#This Row],[SALDO]]&lt;TbCadastro[[#This Row],[ESTOUQUE 
MÍNIMO]],"Solicitar nova compra!",IF(TbCadastro[[#This Row],[SALDO]]&gt;TbCadastro[[#This Row],[ESTOQUE 
MÁXIMO]],"Priorizar venda!",""))</f>
        <v/>
      </c>
    </row>
    <row r="6" spans="1:7" x14ac:dyDescent="0.25">
      <c r="A6" t="s">
        <v>13</v>
      </c>
      <c r="B6" t="s">
        <v>4</v>
      </c>
      <c r="C6" s="3">
        <v>15</v>
      </c>
      <c r="D6" s="3">
        <v>150</v>
      </c>
      <c r="E6" s="10">
        <f>SUMIF(TbLançamentos[PRODUTO],TbCadastro[[#This Row],[PRODUTO]],TbLançamentos[ENTRADA])-SUMIF(TbLançamentos[PRODUTO],TbCadastro[[#This Row],[PRODUTO]],TbLançamentos[SAÍDA])</f>
        <v>155</v>
      </c>
      <c r="F6" s="16" t="str">
        <f>IF(TbCadastro[[#This Row],[SALDO]]&lt;TbCadastro[[#This Row],[ESTOUQUE 
MÍNIMO]],"Solicitar nova compra!",IF(TbCadastro[[#This Row],[SALDO]]&gt;TbCadastro[[#This Row],[ESTOQUE 
MÁXIMO]],"Priorizar venda!",""))</f>
        <v>Priorizar venda!</v>
      </c>
    </row>
  </sheetData>
  <conditionalFormatting sqref="F4:F6">
    <cfRule type="cellIs" dxfId="1" priority="2" operator="equal">
      <formula>"Solicitar nova compra!"</formula>
    </cfRule>
    <cfRule type="cellIs" dxfId="0" priority="1" operator="equal">
      <formula>"Priorizar venda!"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C749-1057-4265-AFD0-3977405C054A}">
  <dimension ref="A1:E10"/>
  <sheetViews>
    <sheetView showGridLines="0" workbookViewId="0">
      <selection activeCell="G1" sqref="G1"/>
    </sheetView>
  </sheetViews>
  <sheetFormatPr defaultColWidth="0" defaultRowHeight="15" x14ac:dyDescent="0.25"/>
  <cols>
    <col min="1" max="1" width="40.7109375" customWidth="1"/>
    <col min="2" max="2" width="15.7109375" style="6" customWidth="1"/>
    <col min="3" max="5" width="15.7109375" style="3" customWidth="1"/>
    <col min="6" max="6" width="22.7109375" customWidth="1"/>
    <col min="7" max="7" width="57.7109375" customWidth="1"/>
    <col min="8" max="16384" width="9.140625" hidden="1"/>
  </cols>
  <sheetData>
    <row r="1" spans="1:5" s="1" customFormat="1" ht="39.950000000000003" customHeight="1" x14ac:dyDescent="0.25">
      <c r="B1" s="9"/>
      <c r="C1" s="10"/>
      <c r="D1" s="10"/>
      <c r="E1" s="10"/>
    </row>
    <row r="3" spans="1:5" ht="29.25" customHeight="1" x14ac:dyDescent="0.25">
      <c r="A3" s="7" t="s">
        <v>0</v>
      </c>
      <c r="B3" s="8" t="s">
        <v>5</v>
      </c>
      <c r="C3" s="11" t="s">
        <v>6</v>
      </c>
      <c r="D3" s="12" t="s">
        <v>7</v>
      </c>
      <c r="E3" s="14" t="s">
        <v>2</v>
      </c>
    </row>
    <row r="4" spans="1:5" x14ac:dyDescent="0.25">
      <c r="A4" t="s">
        <v>12</v>
      </c>
      <c r="B4" s="6">
        <v>43698</v>
      </c>
      <c r="C4" s="3">
        <v>30</v>
      </c>
      <c r="D4" s="3">
        <v>5</v>
      </c>
      <c r="E4" s="10">
        <f>SUMIFS(TbLançamentos[ENTRADA],TbLançamentos[PRODUTO],TbLançamentos[[#This Row],[PRODUTO]],TbLançamentos[DATA],"&lt;="&amp;TbLançamentos[[#This Row],[DATA]])-SUMIFS(TbLançamentos[SAÍDA],TbLançamentos[PRODUTO],TbLançamentos[[#This Row],[PRODUTO]],TbLançamentos[DATA],"&lt;="&amp;TbLançamentos[[#This Row],[DATA]])</f>
        <v>25</v>
      </c>
    </row>
    <row r="5" spans="1:5" x14ac:dyDescent="0.25">
      <c r="A5" t="s">
        <v>10</v>
      </c>
      <c r="B5" s="6">
        <v>43699</v>
      </c>
      <c r="C5" s="3">
        <v>20</v>
      </c>
      <c r="D5" s="3">
        <v>10</v>
      </c>
      <c r="E5" s="10">
        <f>SUMIFS(TbLançamentos[ENTRADA],TbLançamentos[PRODUTO],TbLançamentos[[#This Row],[PRODUTO]],TbLançamentos[DATA],"&lt;="&amp;TbLançamentos[[#This Row],[DATA]])-SUMIFS(TbLançamentos[SAÍDA],TbLançamentos[PRODUTO],TbLançamentos[[#This Row],[PRODUTO]],TbLançamentos[DATA],"&lt;="&amp;TbLançamentos[[#This Row],[DATA]])</f>
        <v>10</v>
      </c>
    </row>
    <row r="6" spans="1:5" x14ac:dyDescent="0.25">
      <c r="A6" t="s">
        <v>12</v>
      </c>
      <c r="B6" s="6">
        <v>43700</v>
      </c>
      <c r="C6" s="3">
        <v>10</v>
      </c>
      <c r="E6" s="10">
        <f>SUMIFS(TbLançamentos[ENTRADA],TbLançamentos[PRODUTO],TbLançamentos[[#This Row],[PRODUTO]],TbLançamentos[DATA],"&lt;="&amp;TbLançamentos[[#This Row],[DATA]])-SUMIFS(TbLançamentos[SAÍDA],TbLançamentos[PRODUTO],TbLançamentos[[#This Row],[PRODUTO]],TbLançamentos[DATA],"&lt;="&amp;TbLançamentos[[#This Row],[DATA]])</f>
        <v>35</v>
      </c>
    </row>
    <row r="7" spans="1:5" x14ac:dyDescent="0.25">
      <c r="A7" t="s">
        <v>13</v>
      </c>
      <c r="B7" s="6">
        <v>43700</v>
      </c>
      <c r="C7" s="3">
        <v>10</v>
      </c>
      <c r="D7" s="3">
        <v>15</v>
      </c>
      <c r="E7" s="10">
        <f>SUMIFS(TbLançamentos[ENTRADA],TbLançamentos[PRODUTO],TbLançamentos[[#This Row],[PRODUTO]],TbLançamentos[DATA],"&lt;="&amp;TbLançamentos[[#This Row],[DATA]])-SUMIFS(TbLançamentos[SAÍDA],TbLançamentos[PRODUTO],TbLançamentos[[#This Row],[PRODUTO]],TbLançamentos[DATA],"&lt;="&amp;TbLançamentos[[#This Row],[DATA]])</f>
        <v>-5</v>
      </c>
    </row>
    <row r="8" spans="1:5" x14ac:dyDescent="0.25">
      <c r="A8" t="s">
        <v>12</v>
      </c>
      <c r="B8" s="6">
        <v>43702</v>
      </c>
      <c r="C8" s="3">
        <v>3</v>
      </c>
      <c r="E8" s="10">
        <f>SUMIFS(TbLançamentos[ENTRADA],TbLançamentos[PRODUTO],TbLançamentos[[#This Row],[PRODUTO]],TbLançamentos[DATA],"&lt;="&amp;TbLançamentos[[#This Row],[DATA]])-SUMIFS(TbLançamentos[SAÍDA],TbLançamentos[PRODUTO],TbLançamentos[[#This Row],[PRODUTO]],TbLançamentos[DATA],"&lt;="&amp;TbLançamentos[[#This Row],[DATA]])</f>
        <v>38</v>
      </c>
    </row>
    <row r="9" spans="1:5" x14ac:dyDescent="0.25">
      <c r="A9" t="s">
        <v>13</v>
      </c>
      <c r="B9" s="6">
        <v>43703</v>
      </c>
      <c r="C9" s="3">
        <v>160</v>
      </c>
      <c r="E9" s="10">
        <f>SUMIFS(TbLançamentos[ENTRADA],TbLançamentos[PRODUTO],TbLançamentos[[#This Row],[PRODUTO]],TbLançamentos[DATA],"&lt;="&amp;TbLançamentos[[#This Row],[DATA]])-SUMIFS(TbLançamentos[SAÍDA],TbLançamentos[PRODUTO],TbLançamentos[[#This Row],[PRODUTO]],TbLançamentos[DATA],"&lt;="&amp;TbLançamentos[[#This Row],[DATA]])</f>
        <v>155</v>
      </c>
    </row>
    <row r="10" spans="1:5" x14ac:dyDescent="0.25">
      <c r="A10" t="s">
        <v>11</v>
      </c>
      <c r="B10">
        <f>SUBTOTAL(103,TbLançamentos[DATA])</f>
        <v>6</v>
      </c>
      <c r="C10" s="3">
        <f>SUBTOTAL(109,TbLançamentos[ENTRADA])</f>
        <v>233</v>
      </c>
      <c r="D10" s="3">
        <f>SUBTOTAL(109,TbLançamentos[SAÍDA])</f>
        <v>30</v>
      </c>
      <c r="E10" s="1">
        <f>SUBTOTAL(103,TbLançamentos[SALDO])</f>
        <v>6</v>
      </c>
    </row>
  </sheetData>
  <conditionalFormatting sqref="E4:E10">
    <cfRule type="cellIs" dxfId="12" priority="1" operator="lessThan">
      <formula>0</formula>
    </cfRule>
  </conditionalFormatting>
  <dataValidations count="1">
    <dataValidation type="list" allowBlank="1" showInputMessage="1" showErrorMessage="1" sqref="A4:A10" xr:uid="{FEEE59F5-836B-4374-B51B-B0DC4943E45D}">
      <formula1>ColunaProdutos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Início</vt:lpstr>
      <vt:lpstr>Cadastro</vt:lpstr>
      <vt:lpstr>Lançamentos</vt:lpstr>
      <vt:lpstr>ColunaProdutos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 Almeida</dc:creator>
  <cp:lastModifiedBy>Giovany Almeida</cp:lastModifiedBy>
  <dcterms:created xsi:type="dcterms:W3CDTF">2024-02-15T19:35:43Z</dcterms:created>
  <dcterms:modified xsi:type="dcterms:W3CDTF">2024-02-15T22:42:09Z</dcterms:modified>
</cp:coreProperties>
</file>