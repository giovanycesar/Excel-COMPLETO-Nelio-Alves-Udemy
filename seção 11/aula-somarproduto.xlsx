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11\"/>
    </mc:Choice>
  </mc:AlternateContent>
  <xr:revisionPtr revIDLastSave="0" documentId="13_ncr:1_{D6335BE0-B336-4A86-B52E-92F7945910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seDados" sheetId="1" r:id="rId1"/>
    <sheet name="SomarProduto" sheetId="2" r:id="rId2"/>
  </sheets>
  <definedNames>
    <definedName name="_xlnm._FilterDatabase" localSheetId="0" hidden="1">BaseDados!$A$1:$E$273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 a="1"/>
  <c r="J9" i="2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G9" i="2" a="1"/>
  <c r="G9" i="2" s="1"/>
  <c r="D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<sst xmlns="http://schemas.openxmlformats.org/spreadsheetml/2006/main" count="301" uniqueCount="20">
  <si>
    <t>Mês</t>
  </si>
  <si>
    <t>Ano</t>
  </si>
  <si>
    <t>Vendedor</t>
  </si>
  <si>
    <t>Logan</t>
  </si>
  <si>
    <t>Anakin</t>
  </si>
  <si>
    <t>Victor Von Doom</t>
  </si>
  <si>
    <t>Kal-El</t>
  </si>
  <si>
    <t>Barry Allen</t>
  </si>
  <si>
    <t>Wanda Maximoff</t>
  </si>
  <si>
    <t>Rachel Roth</t>
  </si>
  <si>
    <t>Padmé Amidala</t>
  </si>
  <si>
    <t>Preço Unitário</t>
  </si>
  <si>
    <t>EducandoWeb</t>
  </si>
  <si>
    <t>RELATÓRIO CONSOLIDADO DE VENDAS</t>
  </si>
  <si>
    <t>Faturamento</t>
  </si>
  <si>
    <t>GERAL</t>
  </si>
  <si>
    <t>POR VENDEDOR E ANO</t>
  </si>
  <si>
    <t>POR VENDEDORES E ANO</t>
  </si>
  <si>
    <t>Quantidade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</si>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</sst>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5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44" fontId="0" fillId="0" borderId="0" xfId="2" applyFont="1" applyAlignment="1">
      <alignment horizontal="right"/>
    </xf>
    <xf numFmtId="164" fontId="0" fillId="0" borderId="0" xfId="1" applyNumberFormat="1" applyFont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44" fontId="0" fillId="0" borderId="0" xfId="0" applyNumberFormat="1"/>
    <xf numFmtId="0" fontId="4" fillId="4" borderId="0" xfId="0" applyFont="1" applyFill="1"/>
    <xf numFmtId="0" fontId="5" fillId="5" borderId="0" xfId="0" applyFont="1" applyFill="1"/>
    <xf numFmtId="0" fontId="0" fillId="0" borderId="3" xfId="0" applyBorder="1"/>
    <xf numFmtId="3" fontId="0" fillId="0" borderId="3" xfId="0" applyNumberFormat="1" applyBorder="1" applyAlignment="1">
      <alignment horizontal="right"/>
    </xf>
    <xf numFmtId="44" fontId="0" fillId="0" borderId="3" xfId="2" applyFont="1" applyBorder="1" applyAlignment="1">
      <alignment horizontal="right"/>
    </xf>
    <xf numFmtId="3" fontId="0" fillId="0" borderId="0" xfId="0" applyNumberFormat="1" applyAlignment="1">
      <alignment horizontal="right"/>
    </xf>
    <xf numFmtId="44" fontId="0" fillId="0" borderId="0" xfId="2" applyFont="1" applyBorder="1" applyAlignment="1">
      <alignment horizontal="right"/>
    </xf>
    <xf numFmtId="0" fontId="0" fillId="0" borderId="4" xfId="0" applyBorder="1"/>
    <xf numFmtId="3" fontId="0" fillId="0" borderId="4" xfId="0" applyNumberFormat="1" applyBorder="1" applyAlignment="1">
      <alignment horizontal="right"/>
    </xf>
    <xf numFmtId="44" fontId="0" fillId="0" borderId="4" xfId="2" applyFont="1" applyBorder="1" applyAlignment="1">
      <alignment horizontal="right"/>
    </xf>
    <xf numFmtId="0" fontId="3" fillId="0" borderId="2" xfId="0" applyFont="1" applyBorder="1"/>
    <xf numFmtId="44" fontId="6" fillId="0" borderId="2" xfId="2" applyFont="1" applyBorder="1"/>
    <xf numFmtId="44" fontId="7" fillId="0" borderId="0" xfId="0" applyNumberFormat="1" applyFont="1"/>
    <xf numFmtId="0" fontId="0" fillId="0" borderId="4" xfId="0" applyBorder="1" applyAlignment="1">
      <alignment horizontal="righ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3" fillId="0" borderId="0" xfId="0" applyFont="1"/>
    <xf numFmtId="44" fontId="7" fillId="0" borderId="0" xfId="2" applyFont="1" applyBorder="1"/>
    <xf numFmtId="0" fontId="8" fillId="4" borderId="0" xfId="0" applyFont="1" applyFill="1" applyAlignment="1">
      <alignment vertical="center"/>
    </xf>
    <xf numFmtId="0" fontId="0" fillId="0" borderId="0" xfId="0" applyAlignment="1">
      <alignment horizontal="right"/>
    </xf>
    <xf numFmtId="44" fontId="0" fillId="3" borderId="1" xfId="2" applyFont="1" applyFill="1" applyBorder="1" applyAlignment="1">
      <alignment horizontal="right"/>
    </xf>
    <xf numFmtId="44" fontId="0" fillId="0" borderId="1" xfId="2" applyFont="1" applyBorder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0" fillId="3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2" fillId="2" borderId="0" xfId="1" applyNumberFormat="1" applyFont="1" applyFill="1" applyBorder="1" applyAlignment="1">
      <alignment horizontal="center"/>
    </xf>
    <xf numFmtId="44" fontId="2" fillId="2" borderId="0" xfId="2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7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ItemVenda" displayName="TbItemVenda" ref="A1:F273" totalsRowShown="0" tableBorderDxfId="6">
  <autoFilter ref="A1:F273" xr:uid="{00000000-0009-0000-0100-000001000000}">
    <filterColumn colId="1">
      <filters>
        <filter val="2016"/>
      </filters>
    </filterColumn>
    <filterColumn colId="2">
      <filters>
        <filter val="Anakin"/>
        <filter val="Logan"/>
      </filters>
    </filterColumn>
  </autoFilter>
  <tableColumns count="6">
    <tableColumn id="1" xr3:uid="{00000000-0010-0000-0000-000001000000}" name="Mês" dataDxfId="5"/>
    <tableColumn id="2" xr3:uid="{00000000-0010-0000-0000-000002000000}" name="Ano" dataDxfId="4"/>
    <tableColumn id="3" xr3:uid="{00000000-0010-0000-0000-000003000000}" name="Vendedor" dataDxfId="3"/>
    <tableColumn id="4" xr3:uid="{00000000-0010-0000-0000-000004000000}" name="Quantidade" dataDxfId="2"/>
    <tableColumn id="5" xr3:uid="{00000000-0010-0000-0000-000005000000}" name="Preço Unitário" dataDxfId="1"/>
    <tableColumn id="6" xr3:uid="{61F026D4-37E1-4C32-90FB-EF11020531C1}" name="Column1" dataDxfId="0">
      <calculatedColumnFormula>TbItemVenda[[#This Row],[Quantidade]]*TbItemVenda[[#This Row],[Preço Unitário]]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showGridLines="0" workbookViewId="0">
      <selection activeCell="F34" sqref="F34"/>
    </sheetView>
  </sheetViews>
  <sheetFormatPr defaultRowHeight="15" x14ac:dyDescent="0.25"/>
  <cols>
    <col min="1" max="2" width="9" customWidth="1"/>
    <col min="3" max="3" width="19.28515625" customWidth="1"/>
    <col min="4" max="4" width="21.42578125" style="2" customWidth="1"/>
    <col min="5" max="5" width="23.140625" style="1" customWidth="1"/>
    <col min="6" max="6" width="25.7109375" customWidth="1"/>
  </cols>
  <sheetData>
    <row r="1" spans="1:6" x14ac:dyDescent="0.25">
      <c r="A1" s="30" t="s">
        <v>0</v>
      </c>
      <c r="B1" s="30" t="s">
        <v>1</v>
      </c>
      <c r="C1" s="31" t="s">
        <v>2</v>
      </c>
      <c r="D1" s="34" t="s">
        <v>18</v>
      </c>
      <c r="E1" s="35" t="s">
        <v>11</v>
      </c>
      <c r="F1" t="s">
        <v>19</v>
      </c>
    </row>
    <row r="2" spans="1:6" x14ac:dyDescent="0.25">
      <c r="A2" s="3">
        <v>1</v>
      </c>
      <c r="B2" s="3">
        <v>2016</v>
      </c>
      <c r="C2" s="4" t="s">
        <v>3</v>
      </c>
      <c r="D2" s="32">
        <v>12</v>
      </c>
      <c r="E2" s="28">
        <v>21.97406340057637</v>
      </c>
      <c r="F2" s="7">
        <f>TbItemVenda[[#This Row],[Quantidade]]*TbItemVenda[[#This Row],[Preço Unitário]]</f>
        <v>263.68876080691643</v>
      </c>
    </row>
    <row r="3" spans="1:6" x14ac:dyDescent="0.25">
      <c r="A3" s="5">
        <v>1</v>
      </c>
      <c r="B3" s="5">
        <v>2016</v>
      </c>
      <c r="C3" s="6" t="s">
        <v>4</v>
      </c>
      <c r="D3" s="33">
        <v>59</v>
      </c>
      <c r="E3" s="29">
        <v>54.121621621621621</v>
      </c>
      <c r="F3" s="7">
        <f>TbItemVenda[[#This Row],[Quantidade]]*TbItemVenda[[#This Row],[Preço Unitário]]</f>
        <v>3193.1756756756758</v>
      </c>
    </row>
    <row r="4" spans="1:6" hidden="1" x14ac:dyDescent="0.25">
      <c r="A4" s="3">
        <v>1</v>
      </c>
      <c r="B4" s="3">
        <v>2016</v>
      </c>
      <c r="C4" s="4" t="s">
        <v>5</v>
      </c>
      <c r="D4" s="32">
        <v>77</v>
      </c>
      <c r="E4" s="28">
        <v>37.773946360153253</v>
      </c>
      <c r="F4" s="7">
        <f>TbItemVenda[[#This Row],[Quantidade]]*TbItemVenda[[#This Row],[Preço Unitário]]</f>
        <v>2908.5938697318006</v>
      </c>
    </row>
    <row r="5" spans="1:6" hidden="1" x14ac:dyDescent="0.25">
      <c r="A5" s="5">
        <v>1</v>
      </c>
      <c r="B5" s="5">
        <v>2016</v>
      </c>
      <c r="C5" s="6" t="s">
        <v>6</v>
      </c>
      <c r="D5" s="33">
        <v>33</v>
      </c>
      <c r="E5" s="29">
        <v>32.54807692307692</v>
      </c>
      <c r="F5" s="7">
        <f>TbItemVenda[[#This Row],[Quantidade]]*TbItemVenda[[#This Row],[Preço Unitário]]</f>
        <v>1074.0865384615383</v>
      </c>
    </row>
    <row r="6" spans="1:6" hidden="1" x14ac:dyDescent="0.25">
      <c r="A6" s="3">
        <v>1</v>
      </c>
      <c r="B6" s="3">
        <v>2016</v>
      </c>
      <c r="C6" s="4" t="s">
        <v>7</v>
      </c>
      <c r="D6" s="32">
        <v>51</v>
      </c>
      <c r="E6" s="28">
        <v>75.493006993006986</v>
      </c>
      <c r="F6" s="7">
        <f>TbItemVenda[[#This Row],[Quantidade]]*TbItemVenda[[#This Row],[Preço Unitário]]</f>
        <v>3850.1433566433561</v>
      </c>
    </row>
    <row r="7" spans="1:6" hidden="1" x14ac:dyDescent="0.25">
      <c r="A7" s="5">
        <v>1</v>
      </c>
      <c r="B7" s="5">
        <v>2016</v>
      </c>
      <c r="C7" s="6" t="s">
        <v>8</v>
      </c>
      <c r="D7" s="33">
        <v>100</v>
      </c>
      <c r="E7" s="29">
        <v>37.577922077922075</v>
      </c>
      <c r="F7" s="7">
        <f>TbItemVenda[[#This Row],[Quantidade]]*TbItemVenda[[#This Row],[Preço Unitário]]</f>
        <v>3757.7922077922076</v>
      </c>
    </row>
    <row r="8" spans="1:6" hidden="1" x14ac:dyDescent="0.25">
      <c r="A8" s="3">
        <v>1</v>
      </c>
      <c r="B8" s="3">
        <v>2016</v>
      </c>
      <c r="C8" s="4" t="s">
        <v>9</v>
      </c>
      <c r="D8" s="32">
        <v>40</v>
      </c>
      <c r="E8" s="28">
        <v>37.851851851851855</v>
      </c>
      <c r="F8" s="7">
        <f>TbItemVenda[[#This Row],[Quantidade]]*TbItemVenda[[#This Row],[Preço Unitário]]</f>
        <v>1514.0740740740741</v>
      </c>
    </row>
    <row r="9" spans="1:6" hidden="1" x14ac:dyDescent="0.25">
      <c r="A9" s="5">
        <v>1</v>
      </c>
      <c r="B9" s="5">
        <v>2016</v>
      </c>
      <c r="C9" s="6" t="s">
        <v>10</v>
      </c>
      <c r="D9" s="33">
        <v>88</v>
      </c>
      <c r="E9" s="29">
        <v>45.414035087719299</v>
      </c>
      <c r="F9" s="7">
        <f>TbItemVenda[[#This Row],[Quantidade]]*TbItemVenda[[#This Row],[Preço Unitário]]</f>
        <v>3996.4350877192983</v>
      </c>
    </row>
    <row r="10" spans="1:6" x14ac:dyDescent="0.25">
      <c r="A10" s="3">
        <v>2</v>
      </c>
      <c r="B10" s="3">
        <v>2016</v>
      </c>
      <c r="C10" s="4" t="s">
        <v>3</v>
      </c>
      <c r="D10" s="32">
        <v>36</v>
      </c>
      <c r="E10" s="28">
        <v>11.488721804511279</v>
      </c>
      <c r="F10" s="7">
        <f>TbItemVenda[[#This Row],[Quantidade]]*TbItemVenda[[#This Row],[Preço Unitário]]</f>
        <v>413.59398496240601</v>
      </c>
    </row>
    <row r="11" spans="1:6" x14ac:dyDescent="0.25">
      <c r="A11" s="5">
        <v>2</v>
      </c>
      <c r="B11" s="5">
        <v>2016</v>
      </c>
      <c r="C11" s="6" t="s">
        <v>4</v>
      </c>
      <c r="D11" s="33">
        <v>50</v>
      </c>
      <c r="E11" s="29">
        <v>38.138972809667671</v>
      </c>
      <c r="F11" s="7">
        <f>TbItemVenda[[#This Row],[Quantidade]]*TbItemVenda[[#This Row],[Preço Unitário]]</f>
        <v>1906.9486404833835</v>
      </c>
    </row>
    <row r="12" spans="1:6" hidden="1" x14ac:dyDescent="0.25">
      <c r="A12" s="3">
        <v>2</v>
      </c>
      <c r="B12" s="3">
        <v>2016</v>
      </c>
      <c r="C12" s="4" t="s">
        <v>5</v>
      </c>
      <c r="D12" s="32">
        <v>75</v>
      </c>
      <c r="E12" s="28">
        <v>69.216981132075475</v>
      </c>
      <c r="F12" s="7">
        <f>TbItemVenda[[#This Row],[Quantidade]]*TbItemVenda[[#This Row],[Preço Unitário]]</f>
        <v>5191.2735849056608</v>
      </c>
    </row>
    <row r="13" spans="1:6" hidden="1" x14ac:dyDescent="0.25">
      <c r="A13" s="5">
        <v>2</v>
      </c>
      <c r="B13" s="5">
        <v>2016</v>
      </c>
      <c r="C13" s="6" t="s">
        <v>6</v>
      </c>
      <c r="D13" s="33">
        <v>71</v>
      </c>
      <c r="E13" s="29">
        <v>39.170278637770899</v>
      </c>
      <c r="F13" s="7">
        <f>TbItemVenda[[#This Row],[Quantidade]]*TbItemVenda[[#This Row],[Preço Unitário]]</f>
        <v>2781.0897832817336</v>
      </c>
    </row>
    <row r="14" spans="1:6" hidden="1" x14ac:dyDescent="0.25">
      <c r="A14" s="3">
        <v>2</v>
      </c>
      <c r="B14" s="3">
        <v>2016</v>
      </c>
      <c r="C14" s="4" t="s">
        <v>7</v>
      </c>
      <c r="D14" s="32">
        <v>78</v>
      </c>
      <c r="E14" s="28">
        <v>80.36363636363636</v>
      </c>
      <c r="F14" s="7">
        <f>TbItemVenda[[#This Row],[Quantidade]]*TbItemVenda[[#This Row],[Preço Unitário]]</f>
        <v>6268.363636363636</v>
      </c>
    </row>
    <row r="15" spans="1:6" hidden="1" x14ac:dyDescent="0.25">
      <c r="A15" s="5">
        <v>2</v>
      </c>
      <c r="B15" s="5">
        <v>2016</v>
      </c>
      <c r="C15" s="6" t="s">
        <v>8</v>
      </c>
      <c r="D15" s="33">
        <v>56</v>
      </c>
      <c r="E15" s="29">
        <v>45.549618320610683</v>
      </c>
      <c r="F15" s="7">
        <f>TbItemVenda[[#This Row],[Quantidade]]*TbItemVenda[[#This Row],[Preço Unitário]]</f>
        <v>2550.7786259541981</v>
      </c>
    </row>
    <row r="16" spans="1:6" hidden="1" x14ac:dyDescent="0.25">
      <c r="A16" s="3">
        <v>2</v>
      </c>
      <c r="B16" s="3">
        <v>2016</v>
      </c>
      <c r="C16" s="4" t="s">
        <v>9</v>
      </c>
      <c r="D16" s="32">
        <v>49</v>
      </c>
      <c r="E16" s="28">
        <v>53.009554140127392</v>
      </c>
      <c r="F16" s="7">
        <f>TbItemVenda[[#This Row],[Quantidade]]*TbItemVenda[[#This Row],[Preço Unitário]]</f>
        <v>2597.4681528662422</v>
      </c>
    </row>
    <row r="17" spans="1:6" hidden="1" x14ac:dyDescent="0.25">
      <c r="A17" s="5">
        <v>2</v>
      </c>
      <c r="B17" s="5">
        <v>2016</v>
      </c>
      <c r="C17" s="6" t="s">
        <v>10</v>
      </c>
      <c r="D17" s="33">
        <v>45</v>
      </c>
      <c r="E17" s="29">
        <v>58.197718631178709</v>
      </c>
      <c r="F17" s="7">
        <f>TbItemVenda[[#This Row],[Quantidade]]*TbItemVenda[[#This Row],[Preço Unitário]]</f>
        <v>2618.8973384030419</v>
      </c>
    </row>
    <row r="18" spans="1:6" x14ac:dyDescent="0.25">
      <c r="A18" s="3">
        <v>3</v>
      </c>
      <c r="B18" s="3">
        <v>2016</v>
      </c>
      <c r="C18" s="4" t="s">
        <v>3</v>
      </c>
      <c r="D18" s="32">
        <v>42</v>
      </c>
      <c r="E18" s="28">
        <v>15.84829721362229</v>
      </c>
      <c r="F18" s="7">
        <f>TbItemVenda[[#This Row],[Quantidade]]*TbItemVenda[[#This Row],[Preço Unitário]]</f>
        <v>665.62848297213623</v>
      </c>
    </row>
    <row r="19" spans="1:6" x14ac:dyDescent="0.25">
      <c r="A19" s="5">
        <v>3</v>
      </c>
      <c r="B19" s="5">
        <v>2016</v>
      </c>
      <c r="C19" s="6" t="s">
        <v>4</v>
      </c>
      <c r="D19" s="33">
        <v>51</v>
      </c>
      <c r="E19" s="29">
        <v>52.767441860465119</v>
      </c>
      <c r="F19" s="7">
        <f>TbItemVenda[[#This Row],[Quantidade]]*TbItemVenda[[#This Row],[Preço Unitário]]</f>
        <v>2691.1395348837209</v>
      </c>
    </row>
    <row r="20" spans="1:6" hidden="1" x14ac:dyDescent="0.25">
      <c r="A20" s="3">
        <v>3</v>
      </c>
      <c r="B20" s="3">
        <v>2016</v>
      </c>
      <c r="C20" s="4" t="s">
        <v>5</v>
      </c>
      <c r="D20" s="32">
        <v>32</v>
      </c>
      <c r="E20" s="28">
        <v>33.703947368421055</v>
      </c>
      <c r="F20" s="7">
        <f>TbItemVenda[[#This Row],[Quantidade]]*TbItemVenda[[#This Row],[Preço Unitário]]</f>
        <v>1078.5263157894738</v>
      </c>
    </row>
    <row r="21" spans="1:6" hidden="1" x14ac:dyDescent="0.25">
      <c r="A21" s="5">
        <v>3</v>
      </c>
      <c r="B21" s="5">
        <v>2016</v>
      </c>
      <c r="C21" s="6" t="s">
        <v>6</v>
      </c>
      <c r="D21" s="33">
        <v>25</v>
      </c>
      <c r="E21" s="29">
        <v>68.950980392156865</v>
      </c>
      <c r="F21" s="7">
        <f>TbItemVenda[[#This Row],[Quantidade]]*TbItemVenda[[#This Row],[Preço Unitário]]</f>
        <v>1723.7745098039215</v>
      </c>
    </row>
    <row r="22" spans="1:6" hidden="1" x14ac:dyDescent="0.25">
      <c r="A22" s="3">
        <v>3</v>
      </c>
      <c r="B22" s="3">
        <v>2016</v>
      </c>
      <c r="C22" s="4" t="s">
        <v>7</v>
      </c>
      <c r="D22" s="32">
        <v>44</v>
      </c>
      <c r="E22" s="28">
        <v>41.288235294117648</v>
      </c>
      <c r="F22" s="7">
        <f>TbItemVenda[[#This Row],[Quantidade]]*TbItemVenda[[#This Row],[Preço Unitário]]</f>
        <v>1816.6823529411765</v>
      </c>
    </row>
    <row r="23" spans="1:6" hidden="1" x14ac:dyDescent="0.25">
      <c r="A23" s="5">
        <v>3</v>
      </c>
      <c r="B23" s="5">
        <v>2016</v>
      </c>
      <c r="C23" s="6" t="s">
        <v>8</v>
      </c>
      <c r="D23" s="33">
        <v>38</v>
      </c>
      <c r="E23" s="29">
        <v>36.264534883720927</v>
      </c>
      <c r="F23" s="7">
        <f>TbItemVenda[[#This Row],[Quantidade]]*TbItemVenda[[#This Row],[Preço Unitário]]</f>
        <v>1378.0523255813953</v>
      </c>
    </row>
    <row r="24" spans="1:6" hidden="1" x14ac:dyDescent="0.25">
      <c r="A24" s="3">
        <v>3</v>
      </c>
      <c r="B24" s="3">
        <v>2016</v>
      </c>
      <c r="C24" s="4" t="s">
        <v>9</v>
      </c>
      <c r="D24" s="32">
        <v>72</v>
      </c>
      <c r="E24" s="28">
        <v>54.484496124031011</v>
      </c>
      <c r="F24" s="7">
        <f>TbItemVenda[[#This Row],[Quantidade]]*TbItemVenda[[#This Row],[Preço Unitário]]</f>
        <v>3922.8837209302328</v>
      </c>
    </row>
    <row r="25" spans="1:6" hidden="1" x14ac:dyDescent="0.25">
      <c r="A25" s="5">
        <v>3</v>
      </c>
      <c r="B25" s="5">
        <v>2016</v>
      </c>
      <c r="C25" s="6" t="s">
        <v>10</v>
      </c>
      <c r="D25" s="33">
        <v>89</v>
      </c>
      <c r="E25" s="29">
        <v>62.432234432234431</v>
      </c>
      <c r="F25" s="7">
        <f>TbItemVenda[[#This Row],[Quantidade]]*TbItemVenda[[#This Row],[Preço Unitário]]</f>
        <v>5556.468864468864</v>
      </c>
    </row>
    <row r="26" spans="1:6" x14ac:dyDescent="0.25">
      <c r="A26" s="3">
        <v>4</v>
      </c>
      <c r="B26" s="3">
        <v>2016</v>
      </c>
      <c r="C26" s="4" t="s">
        <v>3</v>
      </c>
      <c r="D26" s="32">
        <v>10</v>
      </c>
      <c r="E26" s="28">
        <v>15.904761904761905</v>
      </c>
      <c r="F26" s="7">
        <f>TbItemVenda[[#This Row],[Quantidade]]*TbItemVenda[[#This Row],[Preço Unitário]]</f>
        <v>159.04761904761904</v>
      </c>
    </row>
    <row r="27" spans="1:6" x14ac:dyDescent="0.25">
      <c r="A27" s="5">
        <v>4</v>
      </c>
      <c r="B27" s="5">
        <v>2016</v>
      </c>
      <c r="C27" s="6" t="s">
        <v>4</v>
      </c>
      <c r="D27" s="33">
        <v>38</v>
      </c>
      <c r="E27" s="29">
        <v>21.743243243243242</v>
      </c>
      <c r="F27" s="7">
        <f>TbItemVenda[[#This Row],[Quantidade]]*TbItemVenda[[#This Row],[Preço Unitário]]</f>
        <v>826.24324324324323</v>
      </c>
    </row>
    <row r="28" spans="1:6" hidden="1" x14ac:dyDescent="0.25">
      <c r="A28" s="3">
        <v>4</v>
      </c>
      <c r="B28" s="3">
        <v>2016</v>
      </c>
      <c r="C28" s="4" t="s">
        <v>5</v>
      </c>
      <c r="D28" s="32">
        <v>24</v>
      </c>
      <c r="E28" s="28">
        <v>32.256</v>
      </c>
      <c r="F28" s="7">
        <f>TbItemVenda[[#This Row],[Quantidade]]*TbItemVenda[[#This Row],[Preço Unitário]]</f>
        <v>774.14400000000001</v>
      </c>
    </row>
    <row r="29" spans="1:6" hidden="1" x14ac:dyDescent="0.25">
      <c r="A29" s="5">
        <v>4</v>
      </c>
      <c r="B29" s="5">
        <v>2016</v>
      </c>
      <c r="C29" s="6" t="s">
        <v>6</v>
      </c>
      <c r="D29" s="33">
        <v>53</v>
      </c>
      <c r="E29" s="29">
        <v>47.20655737704918</v>
      </c>
      <c r="F29" s="7">
        <f>TbItemVenda[[#This Row],[Quantidade]]*TbItemVenda[[#This Row],[Preço Unitário]]</f>
        <v>2501.9475409836064</v>
      </c>
    </row>
    <row r="30" spans="1:6" hidden="1" x14ac:dyDescent="0.25">
      <c r="A30" s="3">
        <v>4</v>
      </c>
      <c r="B30" s="3">
        <v>2016</v>
      </c>
      <c r="C30" s="4" t="s">
        <v>7</v>
      </c>
      <c r="D30" s="32">
        <v>93</v>
      </c>
      <c r="E30" s="28">
        <v>35.003236245954696</v>
      </c>
      <c r="F30" s="7">
        <f>TbItemVenda[[#This Row],[Quantidade]]*TbItemVenda[[#This Row],[Preço Unitário]]</f>
        <v>3255.3009708737868</v>
      </c>
    </row>
    <row r="31" spans="1:6" hidden="1" x14ac:dyDescent="0.25">
      <c r="A31" s="5">
        <v>4</v>
      </c>
      <c r="B31" s="5">
        <v>2016</v>
      </c>
      <c r="C31" s="6" t="s">
        <v>8</v>
      </c>
      <c r="D31" s="33">
        <v>86</v>
      </c>
      <c r="E31" s="29">
        <v>60.86451612903226</v>
      </c>
      <c r="F31" s="7">
        <f>TbItemVenda[[#This Row],[Quantidade]]*TbItemVenda[[#This Row],[Preço Unitário]]</f>
        <v>5234.3483870967748</v>
      </c>
    </row>
    <row r="32" spans="1:6" hidden="1" x14ac:dyDescent="0.25">
      <c r="A32" s="3">
        <v>4</v>
      </c>
      <c r="B32" s="3">
        <v>2016</v>
      </c>
      <c r="C32" s="4" t="s">
        <v>9</v>
      </c>
      <c r="D32" s="32">
        <v>68</v>
      </c>
      <c r="E32" s="28">
        <v>52.805860805860803</v>
      </c>
      <c r="F32" s="7">
        <f>TbItemVenda[[#This Row],[Quantidade]]*TbItemVenda[[#This Row],[Preço Unitário]]</f>
        <v>3590.7985347985345</v>
      </c>
    </row>
    <row r="33" spans="1:6" hidden="1" x14ac:dyDescent="0.25">
      <c r="A33" s="5">
        <v>4</v>
      </c>
      <c r="B33" s="5">
        <v>2016</v>
      </c>
      <c r="C33" s="6" t="s">
        <v>10</v>
      </c>
      <c r="D33" s="33">
        <v>92</v>
      </c>
      <c r="E33" s="29">
        <v>35.378223495702002</v>
      </c>
      <c r="F33" s="7">
        <f>TbItemVenda[[#This Row],[Quantidade]]*TbItemVenda[[#This Row],[Preço Unitário]]</f>
        <v>3254.796561604584</v>
      </c>
    </row>
    <row r="34" spans="1:6" x14ac:dyDescent="0.25">
      <c r="A34" s="3">
        <v>5</v>
      </c>
      <c r="B34" s="3">
        <v>2016</v>
      </c>
      <c r="C34" s="4" t="s">
        <v>3</v>
      </c>
      <c r="D34" s="32">
        <v>15</v>
      </c>
      <c r="E34" s="28">
        <v>15.557620817843866</v>
      </c>
      <c r="F34" s="7">
        <f>TbItemVenda[[#This Row],[Quantidade]]*TbItemVenda[[#This Row],[Preço Unitário]]</f>
        <v>233.36431226765799</v>
      </c>
    </row>
    <row r="35" spans="1:6" x14ac:dyDescent="0.25">
      <c r="A35" s="5">
        <v>5</v>
      </c>
      <c r="B35" s="5">
        <v>2016</v>
      </c>
      <c r="C35" s="6" t="s">
        <v>4</v>
      </c>
      <c r="D35" s="33">
        <v>45</v>
      </c>
      <c r="E35" s="29">
        <v>79.475655430711612</v>
      </c>
      <c r="F35" s="7">
        <f>TbItemVenda[[#This Row],[Quantidade]]*TbItemVenda[[#This Row],[Preço Unitário]]</f>
        <v>3576.4044943820227</v>
      </c>
    </row>
    <row r="36" spans="1:6" hidden="1" x14ac:dyDescent="0.25">
      <c r="A36" s="3">
        <v>5</v>
      </c>
      <c r="B36" s="3">
        <v>2016</v>
      </c>
      <c r="C36" s="4" t="s">
        <v>5</v>
      </c>
      <c r="D36" s="32">
        <v>36</v>
      </c>
      <c r="E36" s="28">
        <v>62.048632218844986</v>
      </c>
      <c r="F36" s="7">
        <f>TbItemVenda[[#This Row],[Quantidade]]*TbItemVenda[[#This Row],[Preço Unitário]]</f>
        <v>2233.7507598784196</v>
      </c>
    </row>
    <row r="37" spans="1:6" hidden="1" x14ac:dyDescent="0.25">
      <c r="A37" s="5">
        <v>5</v>
      </c>
      <c r="B37" s="5">
        <v>2016</v>
      </c>
      <c r="C37" s="6" t="s">
        <v>6</v>
      </c>
      <c r="D37" s="33">
        <v>97</v>
      </c>
      <c r="E37" s="29">
        <v>41.861271676300575</v>
      </c>
      <c r="F37" s="7">
        <f>TbItemVenda[[#This Row],[Quantidade]]*TbItemVenda[[#This Row],[Preço Unitário]]</f>
        <v>4060.5433526011557</v>
      </c>
    </row>
    <row r="38" spans="1:6" hidden="1" x14ac:dyDescent="0.25">
      <c r="A38" s="3">
        <v>5</v>
      </c>
      <c r="B38" s="3">
        <v>2016</v>
      </c>
      <c r="C38" s="4" t="s">
        <v>7</v>
      </c>
      <c r="D38" s="32">
        <v>84</v>
      </c>
      <c r="E38" s="28">
        <v>24.752542372881354</v>
      </c>
      <c r="F38" s="7">
        <f>TbItemVenda[[#This Row],[Quantidade]]*TbItemVenda[[#This Row],[Preço Unitário]]</f>
        <v>2079.2135593220337</v>
      </c>
    </row>
    <row r="39" spans="1:6" hidden="1" x14ac:dyDescent="0.25">
      <c r="A39" s="5">
        <v>5</v>
      </c>
      <c r="B39" s="5">
        <v>2016</v>
      </c>
      <c r="C39" s="6" t="s">
        <v>8</v>
      </c>
      <c r="D39" s="33">
        <v>52</v>
      </c>
      <c r="E39" s="29">
        <v>76.281786941580762</v>
      </c>
      <c r="F39" s="7">
        <f>TbItemVenda[[#This Row],[Quantidade]]*TbItemVenda[[#This Row],[Preço Unitário]]</f>
        <v>3966.6529209621995</v>
      </c>
    </row>
    <row r="40" spans="1:6" hidden="1" x14ac:dyDescent="0.25">
      <c r="A40" s="3">
        <v>5</v>
      </c>
      <c r="B40" s="3">
        <v>2016</v>
      </c>
      <c r="C40" s="4" t="s">
        <v>9</v>
      </c>
      <c r="D40" s="32">
        <v>65</v>
      </c>
      <c r="E40" s="28">
        <v>77.276119402985074</v>
      </c>
      <c r="F40" s="7">
        <f>TbItemVenda[[#This Row],[Quantidade]]*TbItemVenda[[#This Row],[Preço Unitário]]</f>
        <v>5022.9477611940301</v>
      </c>
    </row>
    <row r="41" spans="1:6" hidden="1" x14ac:dyDescent="0.25">
      <c r="A41" s="5">
        <v>5</v>
      </c>
      <c r="B41" s="5">
        <v>2016</v>
      </c>
      <c r="C41" s="6" t="s">
        <v>10</v>
      </c>
      <c r="D41" s="33">
        <v>76</v>
      </c>
      <c r="E41" s="29">
        <v>22.074712643678161</v>
      </c>
      <c r="F41" s="7">
        <f>TbItemVenda[[#This Row],[Quantidade]]*TbItemVenda[[#This Row],[Preço Unitário]]</f>
        <v>1677.6781609195402</v>
      </c>
    </row>
    <row r="42" spans="1:6" x14ac:dyDescent="0.25">
      <c r="A42" s="3">
        <v>6</v>
      </c>
      <c r="B42" s="3">
        <v>2016</v>
      </c>
      <c r="C42" s="4" t="s">
        <v>3</v>
      </c>
      <c r="D42" s="32">
        <v>26</v>
      </c>
      <c r="E42" s="28">
        <v>12.157142857142857</v>
      </c>
      <c r="F42" s="7">
        <f>TbItemVenda[[#This Row],[Quantidade]]*TbItemVenda[[#This Row],[Preço Unitário]]</f>
        <v>316.08571428571429</v>
      </c>
    </row>
    <row r="43" spans="1:6" x14ac:dyDescent="0.25">
      <c r="A43" s="5">
        <v>6</v>
      </c>
      <c r="B43" s="5">
        <v>2016</v>
      </c>
      <c r="C43" s="6" t="s">
        <v>4</v>
      </c>
      <c r="D43" s="33">
        <v>72</v>
      </c>
      <c r="E43" s="29">
        <v>73.08754208754209</v>
      </c>
      <c r="F43" s="7">
        <f>TbItemVenda[[#This Row],[Quantidade]]*TbItemVenda[[#This Row],[Preço Unitário]]</f>
        <v>5262.30303030303</v>
      </c>
    </row>
    <row r="44" spans="1:6" hidden="1" x14ac:dyDescent="0.25">
      <c r="A44" s="3">
        <v>6</v>
      </c>
      <c r="B44" s="3">
        <v>2016</v>
      </c>
      <c r="C44" s="4" t="s">
        <v>5</v>
      </c>
      <c r="D44" s="32">
        <v>68</v>
      </c>
      <c r="E44" s="28">
        <v>26.396449704142011</v>
      </c>
      <c r="F44" s="7">
        <f>TbItemVenda[[#This Row],[Quantidade]]*TbItemVenda[[#This Row],[Preço Unitário]]</f>
        <v>1794.9585798816568</v>
      </c>
    </row>
    <row r="45" spans="1:6" hidden="1" x14ac:dyDescent="0.25">
      <c r="A45" s="5">
        <v>6</v>
      </c>
      <c r="B45" s="5">
        <v>2016</v>
      </c>
      <c r="C45" s="6" t="s">
        <v>6</v>
      </c>
      <c r="D45" s="33">
        <v>81</v>
      </c>
      <c r="E45" s="29">
        <v>39.005763688760808</v>
      </c>
      <c r="F45" s="7">
        <f>TbItemVenda[[#This Row],[Quantidade]]*TbItemVenda[[#This Row],[Preço Unitário]]</f>
        <v>3159.4668587896253</v>
      </c>
    </row>
    <row r="46" spans="1:6" hidden="1" x14ac:dyDescent="0.25">
      <c r="A46" s="3">
        <v>6</v>
      </c>
      <c r="B46" s="3">
        <v>2016</v>
      </c>
      <c r="C46" s="4" t="s">
        <v>7</v>
      </c>
      <c r="D46" s="32">
        <v>93</v>
      </c>
      <c r="E46" s="28">
        <v>39.29179331306991</v>
      </c>
      <c r="F46" s="7">
        <f>TbItemVenda[[#This Row],[Quantidade]]*TbItemVenda[[#This Row],[Preço Unitário]]</f>
        <v>3654.1367781155018</v>
      </c>
    </row>
    <row r="47" spans="1:6" hidden="1" x14ac:dyDescent="0.25">
      <c r="A47" s="5">
        <v>6</v>
      </c>
      <c r="B47" s="5">
        <v>2016</v>
      </c>
      <c r="C47" s="6" t="s">
        <v>8</v>
      </c>
      <c r="D47" s="33">
        <v>28</v>
      </c>
      <c r="E47" s="29">
        <v>34.300653594771241</v>
      </c>
      <c r="F47" s="7">
        <f>TbItemVenda[[#This Row],[Quantidade]]*TbItemVenda[[#This Row],[Preço Unitário]]</f>
        <v>960.41830065359477</v>
      </c>
    </row>
    <row r="48" spans="1:6" hidden="1" x14ac:dyDescent="0.25">
      <c r="A48" s="3">
        <v>6</v>
      </c>
      <c r="B48" s="3">
        <v>2016</v>
      </c>
      <c r="C48" s="4" t="s">
        <v>9</v>
      </c>
      <c r="D48" s="32">
        <v>93</v>
      </c>
      <c r="E48" s="28">
        <v>42.148264984227133</v>
      </c>
      <c r="F48" s="7">
        <f>TbItemVenda[[#This Row],[Quantidade]]*TbItemVenda[[#This Row],[Preço Unitário]]</f>
        <v>3919.7886435331234</v>
      </c>
    </row>
    <row r="49" spans="1:6" hidden="1" x14ac:dyDescent="0.25">
      <c r="A49" s="5">
        <v>6</v>
      </c>
      <c r="B49" s="5">
        <v>2016</v>
      </c>
      <c r="C49" s="6" t="s">
        <v>10</v>
      </c>
      <c r="D49" s="33">
        <v>25</v>
      </c>
      <c r="E49" s="29">
        <v>47.345821325648416</v>
      </c>
      <c r="F49" s="7">
        <f>TbItemVenda[[#This Row],[Quantidade]]*TbItemVenda[[#This Row],[Preço Unitário]]</f>
        <v>1183.6455331412103</v>
      </c>
    </row>
    <row r="50" spans="1:6" x14ac:dyDescent="0.25">
      <c r="A50" s="3">
        <v>7</v>
      </c>
      <c r="B50" s="3">
        <v>2016</v>
      </c>
      <c r="C50" s="4" t="s">
        <v>3</v>
      </c>
      <c r="D50" s="32">
        <v>36</v>
      </c>
      <c r="E50" s="28">
        <v>23.65680473372781</v>
      </c>
      <c r="F50" s="7">
        <f>TbItemVenda[[#This Row],[Quantidade]]*TbItemVenda[[#This Row],[Preço Unitário]]</f>
        <v>851.64497041420123</v>
      </c>
    </row>
    <row r="51" spans="1:6" x14ac:dyDescent="0.25">
      <c r="A51" s="5">
        <v>7</v>
      </c>
      <c r="B51" s="5">
        <v>2016</v>
      </c>
      <c r="C51" s="6" t="s">
        <v>4</v>
      </c>
      <c r="D51" s="33">
        <v>67</v>
      </c>
      <c r="E51" s="29">
        <v>38.996015936254977</v>
      </c>
      <c r="F51" s="7">
        <f>TbItemVenda[[#This Row],[Quantidade]]*TbItemVenda[[#This Row],[Preço Unitário]]</f>
        <v>2612.7330677290834</v>
      </c>
    </row>
    <row r="52" spans="1:6" hidden="1" x14ac:dyDescent="0.25">
      <c r="A52" s="3">
        <v>7</v>
      </c>
      <c r="B52" s="3">
        <v>2016</v>
      </c>
      <c r="C52" s="4" t="s">
        <v>5</v>
      </c>
      <c r="D52" s="32">
        <v>62</v>
      </c>
      <c r="E52" s="28">
        <v>31.617816091954023</v>
      </c>
      <c r="F52" s="7">
        <f>TbItemVenda[[#This Row],[Quantidade]]*TbItemVenda[[#This Row],[Preço Unitário]]</f>
        <v>1960.3045977011493</v>
      </c>
    </row>
    <row r="53" spans="1:6" hidden="1" x14ac:dyDescent="0.25">
      <c r="A53" s="5">
        <v>7</v>
      </c>
      <c r="B53" s="5">
        <v>2016</v>
      </c>
      <c r="C53" s="6" t="s">
        <v>6</v>
      </c>
      <c r="D53" s="33">
        <v>20</v>
      </c>
      <c r="E53" s="29">
        <v>62.73260073260073</v>
      </c>
      <c r="F53" s="7">
        <f>TbItemVenda[[#This Row],[Quantidade]]*TbItemVenda[[#This Row],[Preço Unitário]]</f>
        <v>1254.6520146520147</v>
      </c>
    </row>
    <row r="54" spans="1:6" hidden="1" x14ac:dyDescent="0.25">
      <c r="A54" s="3">
        <v>7</v>
      </c>
      <c r="B54" s="3">
        <v>2016</v>
      </c>
      <c r="C54" s="4" t="s">
        <v>7</v>
      </c>
      <c r="D54" s="32">
        <v>53</v>
      </c>
      <c r="E54" s="28">
        <v>50.909385113268605</v>
      </c>
      <c r="F54" s="7">
        <f>TbItemVenda[[#This Row],[Quantidade]]*TbItemVenda[[#This Row],[Preço Unitário]]</f>
        <v>2698.1974110032361</v>
      </c>
    </row>
    <row r="55" spans="1:6" hidden="1" x14ac:dyDescent="0.25">
      <c r="A55" s="5">
        <v>7</v>
      </c>
      <c r="B55" s="5">
        <v>2016</v>
      </c>
      <c r="C55" s="6" t="s">
        <v>8</v>
      </c>
      <c r="D55" s="33">
        <v>68</v>
      </c>
      <c r="E55" s="29">
        <v>38.117449664429529</v>
      </c>
      <c r="F55" s="7">
        <f>TbItemVenda[[#This Row],[Quantidade]]*TbItemVenda[[#This Row],[Preço Unitário]]</f>
        <v>2591.9865771812078</v>
      </c>
    </row>
    <row r="56" spans="1:6" hidden="1" x14ac:dyDescent="0.25">
      <c r="A56" s="3">
        <v>7</v>
      </c>
      <c r="B56" s="3">
        <v>2016</v>
      </c>
      <c r="C56" s="4" t="s">
        <v>9</v>
      </c>
      <c r="D56" s="32">
        <v>42</v>
      </c>
      <c r="E56" s="28">
        <v>23.577464788732396</v>
      </c>
      <c r="F56" s="7">
        <f>TbItemVenda[[#This Row],[Quantidade]]*TbItemVenda[[#This Row],[Preço Unitário]]</f>
        <v>990.25352112676057</v>
      </c>
    </row>
    <row r="57" spans="1:6" hidden="1" x14ac:dyDescent="0.25">
      <c r="A57" s="5">
        <v>7</v>
      </c>
      <c r="B57" s="5">
        <v>2016</v>
      </c>
      <c r="C57" s="6" t="s">
        <v>10</v>
      </c>
      <c r="D57" s="33">
        <v>80</v>
      </c>
      <c r="E57" s="29">
        <v>15.302052785923754</v>
      </c>
      <c r="F57" s="7">
        <f>TbItemVenda[[#This Row],[Quantidade]]*TbItemVenda[[#This Row],[Preço Unitário]]</f>
        <v>1224.1642228739004</v>
      </c>
    </row>
    <row r="58" spans="1:6" x14ac:dyDescent="0.25">
      <c r="A58" s="3">
        <v>8</v>
      </c>
      <c r="B58" s="3">
        <v>2016</v>
      </c>
      <c r="C58" s="4" t="s">
        <v>3</v>
      </c>
      <c r="D58" s="32">
        <v>28</v>
      </c>
      <c r="E58" s="28">
        <v>14.346570397111913</v>
      </c>
      <c r="F58" s="7">
        <f>TbItemVenda[[#This Row],[Quantidade]]*TbItemVenda[[#This Row],[Preço Unitário]]</f>
        <v>401.70397111913354</v>
      </c>
    </row>
    <row r="59" spans="1:6" x14ac:dyDescent="0.25">
      <c r="A59" s="5">
        <v>8</v>
      </c>
      <c r="B59" s="5">
        <v>2016</v>
      </c>
      <c r="C59" s="6" t="s">
        <v>4</v>
      </c>
      <c r="D59" s="33">
        <v>45</v>
      </c>
      <c r="E59" s="29">
        <v>16.324712643678161</v>
      </c>
      <c r="F59" s="7">
        <f>TbItemVenda[[#This Row],[Quantidade]]*TbItemVenda[[#This Row],[Preço Unitário]]</f>
        <v>734.61206896551721</v>
      </c>
    </row>
    <row r="60" spans="1:6" hidden="1" x14ac:dyDescent="0.25">
      <c r="A60" s="3">
        <v>8</v>
      </c>
      <c r="B60" s="3">
        <v>2016</v>
      </c>
      <c r="C60" s="4" t="s">
        <v>5</v>
      </c>
      <c r="D60" s="32">
        <v>90</v>
      </c>
      <c r="E60" s="28">
        <v>62.786206896551725</v>
      </c>
      <c r="F60" s="7">
        <f>TbItemVenda[[#This Row],[Quantidade]]*TbItemVenda[[#This Row],[Preço Unitário]]</f>
        <v>5650.7586206896549</v>
      </c>
    </row>
    <row r="61" spans="1:6" hidden="1" x14ac:dyDescent="0.25">
      <c r="A61" s="5">
        <v>8</v>
      </c>
      <c r="B61" s="5">
        <v>2016</v>
      </c>
      <c r="C61" s="6" t="s">
        <v>6</v>
      </c>
      <c r="D61" s="33">
        <v>100</v>
      </c>
      <c r="E61" s="29">
        <v>15.33939393939394</v>
      </c>
      <c r="F61" s="7">
        <f>TbItemVenda[[#This Row],[Quantidade]]*TbItemVenda[[#This Row],[Preço Unitário]]</f>
        <v>1533.939393939394</v>
      </c>
    </row>
    <row r="62" spans="1:6" hidden="1" x14ac:dyDescent="0.25">
      <c r="A62" s="3">
        <v>8</v>
      </c>
      <c r="B62" s="3">
        <v>2016</v>
      </c>
      <c r="C62" s="4" t="s">
        <v>7</v>
      </c>
      <c r="D62" s="32">
        <v>84</v>
      </c>
      <c r="E62" s="28">
        <v>71.055921052631575</v>
      </c>
      <c r="F62" s="7">
        <f>TbItemVenda[[#This Row],[Quantidade]]*TbItemVenda[[#This Row],[Preço Unitário]]</f>
        <v>5968.6973684210525</v>
      </c>
    </row>
    <row r="63" spans="1:6" hidden="1" x14ac:dyDescent="0.25">
      <c r="A63" s="5">
        <v>8</v>
      </c>
      <c r="B63" s="5">
        <v>2016</v>
      </c>
      <c r="C63" s="6" t="s">
        <v>8</v>
      </c>
      <c r="D63" s="33">
        <v>24</v>
      </c>
      <c r="E63" s="29">
        <v>18.298780487804876</v>
      </c>
      <c r="F63" s="7">
        <f>TbItemVenda[[#This Row],[Quantidade]]*TbItemVenda[[#This Row],[Preço Unitário]]</f>
        <v>439.17073170731703</v>
      </c>
    </row>
    <row r="64" spans="1:6" hidden="1" x14ac:dyDescent="0.25">
      <c r="A64" s="3">
        <v>8</v>
      </c>
      <c r="B64" s="3">
        <v>2016</v>
      </c>
      <c r="C64" s="4" t="s">
        <v>9</v>
      </c>
      <c r="D64" s="32">
        <v>52</v>
      </c>
      <c r="E64" s="28">
        <v>53.855907780979827</v>
      </c>
      <c r="F64" s="7">
        <f>TbItemVenda[[#This Row],[Quantidade]]*TbItemVenda[[#This Row],[Preço Unitário]]</f>
        <v>2800.5072046109508</v>
      </c>
    </row>
    <row r="65" spans="1:6" hidden="1" x14ac:dyDescent="0.25">
      <c r="A65" s="5">
        <v>8</v>
      </c>
      <c r="B65" s="5">
        <v>2016</v>
      </c>
      <c r="C65" s="6" t="s">
        <v>10</v>
      </c>
      <c r="D65" s="33">
        <v>52</v>
      </c>
      <c r="E65" s="29">
        <v>65.927444794952677</v>
      </c>
      <c r="F65" s="7">
        <f>TbItemVenda[[#This Row],[Quantidade]]*TbItemVenda[[#This Row],[Preço Unitário]]</f>
        <v>3428.2271293375393</v>
      </c>
    </row>
    <row r="66" spans="1:6" x14ac:dyDescent="0.25">
      <c r="A66" s="3">
        <v>9</v>
      </c>
      <c r="B66" s="3">
        <v>2016</v>
      </c>
      <c r="C66" s="4" t="s">
        <v>3</v>
      </c>
      <c r="D66" s="32">
        <v>25</v>
      </c>
      <c r="E66" s="28">
        <v>21.330769230769231</v>
      </c>
      <c r="F66" s="7">
        <f>TbItemVenda[[#This Row],[Quantidade]]*TbItemVenda[[#This Row],[Preço Unitário]]</f>
        <v>533.26923076923083</v>
      </c>
    </row>
    <row r="67" spans="1:6" x14ac:dyDescent="0.25">
      <c r="A67" s="5">
        <v>9</v>
      </c>
      <c r="B67" s="5">
        <v>2016</v>
      </c>
      <c r="C67" s="6" t="s">
        <v>4</v>
      </c>
      <c r="D67" s="33">
        <v>35</v>
      </c>
      <c r="E67" s="29">
        <v>49.180379746835442</v>
      </c>
      <c r="F67" s="7">
        <f>TbItemVenda[[#This Row],[Quantidade]]*TbItemVenda[[#This Row],[Preço Unitário]]</f>
        <v>1721.3132911392404</v>
      </c>
    </row>
    <row r="68" spans="1:6" hidden="1" x14ac:dyDescent="0.25">
      <c r="A68" s="3">
        <v>9</v>
      </c>
      <c r="B68" s="3">
        <v>2016</v>
      </c>
      <c r="C68" s="4" t="s">
        <v>5</v>
      </c>
      <c r="D68" s="32">
        <v>99</v>
      </c>
      <c r="E68" s="28">
        <v>39.247093023255815</v>
      </c>
      <c r="F68" s="7">
        <f>TbItemVenda[[#This Row],[Quantidade]]*TbItemVenda[[#This Row],[Preço Unitário]]</f>
        <v>3885.4622093023258</v>
      </c>
    </row>
    <row r="69" spans="1:6" hidden="1" x14ac:dyDescent="0.25">
      <c r="A69" s="5">
        <v>9</v>
      </c>
      <c r="B69" s="5">
        <v>2016</v>
      </c>
      <c r="C69" s="6" t="s">
        <v>6</v>
      </c>
      <c r="D69" s="33">
        <v>23</v>
      </c>
      <c r="E69" s="29">
        <v>82.12</v>
      </c>
      <c r="F69" s="7">
        <f>TbItemVenda[[#This Row],[Quantidade]]*TbItemVenda[[#This Row],[Preço Unitário]]</f>
        <v>1888.7600000000002</v>
      </c>
    </row>
    <row r="70" spans="1:6" hidden="1" x14ac:dyDescent="0.25">
      <c r="A70" s="3">
        <v>9</v>
      </c>
      <c r="B70" s="3">
        <v>2016</v>
      </c>
      <c r="C70" s="4" t="s">
        <v>7</v>
      </c>
      <c r="D70" s="32">
        <v>96</v>
      </c>
      <c r="E70" s="28">
        <v>62.407766990291265</v>
      </c>
      <c r="F70" s="7">
        <f>TbItemVenda[[#This Row],[Quantidade]]*TbItemVenda[[#This Row],[Preço Unitário]]</f>
        <v>5991.1456310679614</v>
      </c>
    </row>
    <row r="71" spans="1:6" hidden="1" x14ac:dyDescent="0.25">
      <c r="A71" s="5">
        <v>9</v>
      </c>
      <c r="B71" s="5">
        <v>2016</v>
      </c>
      <c r="C71" s="6" t="s">
        <v>8</v>
      </c>
      <c r="D71" s="33">
        <v>98</v>
      </c>
      <c r="E71" s="29">
        <v>31.837370242214533</v>
      </c>
      <c r="F71" s="7">
        <f>TbItemVenda[[#This Row],[Quantidade]]*TbItemVenda[[#This Row],[Preço Unitário]]</f>
        <v>3120.0622837370242</v>
      </c>
    </row>
    <row r="72" spans="1:6" hidden="1" x14ac:dyDescent="0.25">
      <c r="A72" s="3">
        <v>9</v>
      </c>
      <c r="B72" s="3">
        <v>2016</v>
      </c>
      <c r="C72" s="4" t="s">
        <v>9</v>
      </c>
      <c r="D72" s="32">
        <v>90</v>
      </c>
      <c r="E72" s="28">
        <v>34.403076923076924</v>
      </c>
      <c r="F72" s="7">
        <f>TbItemVenda[[#This Row],[Quantidade]]*TbItemVenda[[#This Row],[Preço Unitário]]</f>
        <v>3096.2769230769231</v>
      </c>
    </row>
    <row r="73" spans="1:6" hidden="1" x14ac:dyDescent="0.25">
      <c r="A73" s="5">
        <v>9</v>
      </c>
      <c r="B73" s="5">
        <v>2016</v>
      </c>
      <c r="C73" s="6" t="s">
        <v>10</v>
      </c>
      <c r="D73" s="33">
        <v>84</v>
      </c>
      <c r="E73" s="29">
        <v>38.646376811594202</v>
      </c>
      <c r="F73" s="7">
        <f>TbItemVenda[[#This Row],[Quantidade]]*TbItemVenda[[#This Row],[Preço Unitário]]</f>
        <v>3246.2956521739129</v>
      </c>
    </row>
    <row r="74" spans="1:6" x14ac:dyDescent="0.25">
      <c r="A74" s="3">
        <v>10</v>
      </c>
      <c r="B74" s="3">
        <v>2016</v>
      </c>
      <c r="C74" s="4" t="s">
        <v>3</v>
      </c>
      <c r="D74" s="32">
        <v>30</v>
      </c>
      <c r="E74" s="28">
        <v>34.483985765124558</v>
      </c>
      <c r="F74" s="7">
        <f>TbItemVenda[[#This Row],[Quantidade]]*TbItemVenda[[#This Row],[Preço Unitário]]</f>
        <v>1034.5195729537368</v>
      </c>
    </row>
    <row r="75" spans="1:6" x14ac:dyDescent="0.25">
      <c r="A75" s="5">
        <v>10</v>
      </c>
      <c r="B75" s="5">
        <v>2016</v>
      </c>
      <c r="C75" s="6" t="s">
        <v>4</v>
      </c>
      <c r="D75" s="33">
        <v>26</v>
      </c>
      <c r="E75" s="29">
        <v>38.462295081967213</v>
      </c>
      <c r="F75" s="7">
        <f>TbItemVenda[[#This Row],[Quantidade]]*TbItemVenda[[#This Row],[Preço Unitário]]</f>
        <v>1000.0196721311476</v>
      </c>
    </row>
    <row r="76" spans="1:6" hidden="1" x14ac:dyDescent="0.25">
      <c r="A76" s="3">
        <v>10</v>
      </c>
      <c r="B76" s="3">
        <v>2016</v>
      </c>
      <c r="C76" s="4" t="s">
        <v>5</v>
      </c>
      <c r="D76" s="32">
        <v>91</v>
      </c>
      <c r="E76" s="28">
        <v>48.660649819494587</v>
      </c>
      <c r="F76" s="7">
        <f>TbItemVenda[[#This Row],[Quantidade]]*TbItemVenda[[#This Row],[Preço Unitário]]</f>
        <v>4428.1191335740077</v>
      </c>
    </row>
    <row r="77" spans="1:6" hidden="1" x14ac:dyDescent="0.25">
      <c r="A77" s="5">
        <v>10</v>
      </c>
      <c r="B77" s="5">
        <v>2016</v>
      </c>
      <c r="C77" s="6" t="s">
        <v>6</v>
      </c>
      <c r="D77" s="33">
        <v>44</v>
      </c>
      <c r="E77" s="29">
        <v>16.653124999999999</v>
      </c>
      <c r="F77" s="7">
        <f>TbItemVenda[[#This Row],[Quantidade]]*TbItemVenda[[#This Row],[Preço Unitário]]</f>
        <v>732.73749999999995</v>
      </c>
    </row>
    <row r="78" spans="1:6" hidden="1" x14ac:dyDescent="0.25">
      <c r="A78" s="3">
        <v>10</v>
      </c>
      <c r="B78" s="3">
        <v>2016</v>
      </c>
      <c r="C78" s="4" t="s">
        <v>7</v>
      </c>
      <c r="D78" s="32">
        <v>74</v>
      </c>
      <c r="E78" s="28">
        <v>34.952238805970147</v>
      </c>
      <c r="F78" s="7">
        <f>TbItemVenda[[#This Row],[Quantidade]]*TbItemVenda[[#This Row],[Preço Unitário]]</f>
        <v>2586.4656716417908</v>
      </c>
    </row>
    <row r="79" spans="1:6" hidden="1" x14ac:dyDescent="0.25">
      <c r="A79" s="5">
        <v>10</v>
      </c>
      <c r="B79" s="5">
        <v>2016</v>
      </c>
      <c r="C79" s="6" t="s">
        <v>8</v>
      </c>
      <c r="D79" s="33">
        <v>30</v>
      </c>
      <c r="E79" s="29">
        <v>32.8187134502924</v>
      </c>
      <c r="F79" s="7">
        <f>TbItemVenda[[#This Row],[Quantidade]]*TbItemVenda[[#This Row],[Preço Unitário]]</f>
        <v>984.56140350877195</v>
      </c>
    </row>
    <row r="80" spans="1:6" hidden="1" x14ac:dyDescent="0.25">
      <c r="A80" s="3">
        <v>10</v>
      </c>
      <c r="B80" s="3">
        <v>2016</v>
      </c>
      <c r="C80" s="4" t="s">
        <v>9</v>
      </c>
      <c r="D80" s="32">
        <v>53</v>
      </c>
      <c r="E80" s="28">
        <v>72.477443609022558</v>
      </c>
      <c r="F80" s="7">
        <f>TbItemVenda[[#This Row],[Quantidade]]*TbItemVenda[[#This Row],[Preço Unitário]]</f>
        <v>3841.3045112781956</v>
      </c>
    </row>
    <row r="81" spans="1:6" hidden="1" x14ac:dyDescent="0.25">
      <c r="A81" s="5">
        <v>10</v>
      </c>
      <c r="B81" s="5">
        <v>2016</v>
      </c>
      <c r="C81" s="6" t="s">
        <v>10</v>
      </c>
      <c r="D81" s="33">
        <v>53</v>
      </c>
      <c r="E81" s="29">
        <v>46.160583941605836</v>
      </c>
      <c r="F81" s="7">
        <f>TbItemVenda[[#This Row],[Quantidade]]*TbItemVenda[[#This Row],[Preço Unitário]]</f>
        <v>2446.5109489051092</v>
      </c>
    </row>
    <row r="82" spans="1:6" x14ac:dyDescent="0.25">
      <c r="A82" s="3">
        <v>11</v>
      </c>
      <c r="B82" s="3">
        <v>2016</v>
      </c>
      <c r="C82" s="4" t="s">
        <v>3</v>
      </c>
      <c r="D82" s="32">
        <v>45</v>
      </c>
      <c r="E82" s="28">
        <v>30.36085626911315</v>
      </c>
      <c r="F82" s="7">
        <f>TbItemVenda[[#This Row],[Quantidade]]*TbItemVenda[[#This Row],[Preço Unitário]]</f>
        <v>1366.2385321100917</v>
      </c>
    </row>
    <row r="83" spans="1:6" x14ac:dyDescent="0.25">
      <c r="A83" s="5">
        <v>11</v>
      </c>
      <c r="B83" s="5">
        <v>2016</v>
      </c>
      <c r="C83" s="6" t="s">
        <v>4</v>
      </c>
      <c r="D83" s="33">
        <v>57</v>
      </c>
      <c r="E83" s="29">
        <v>69.600719424460436</v>
      </c>
      <c r="F83" s="7">
        <f>TbItemVenda[[#This Row],[Quantidade]]*TbItemVenda[[#This Row],[Preço Unitário]]</f>
        <v>3967.241007194245</v>
      </c>
    </row>
    <row r="84" spans="1:6" hidden="1" x14ac:dyDescent="0.25">
      <c r="A84" s="3">
        <v>11</v>
      </c>
      <c r="B84" s="3">
        <v>2016</v>
      </c>
      <c r="C84" s="4" t="s">
        <v>5</v>
      </c>
      <c r="D84" s="32">
        <v>44</v>
      </c>
      <c r="E84" s="28">
        <v>56.151335311572701</v>
      </c>
      <c r="F84" s="7">
        <f>TbItemVenda[[#This Row],[Quantidade]]*TbItemVenda[[#This Row],[Preço Unitário]]</f>
        <v>2470.6587537091987</v>
      </c>
    </row>
    <row r="85" spans="1:6" hidden="1" x14ac:dyDescent="0.25">
      <c r="A85" s="5">
        <v>11</v>
      </c>
      <c r="B85" s="5">
        <v>2016</v>
      </c>
      <c r="C85" s="6" t="s">
        <v>6</v>
      </c>
      <c r="D85" s="33">
        <v>92</v>
      </c>
      <c r="E85" s="29">
        <v>20.2540192926045</v>
      </c>
      <c r="F85" s="7">
        <f>TbItemVenda[[#This Row],[Quantidade]]*TbItemVenda[[#This Row],[Preço Unitário]]</f>
        <v>1863.369774919614</v>
      </c>
    </row>
    <row r="86" spans="1:6" hidden="1" x14ac:dyDescent="0.25">
      <c r="A86" s="3">
        <v>11</v>
      </c>
      <c r="B86" s="3">
        <v>2016</v>
      </c>
      <c r="C86" s="4" t="s">
        <v>7</v>
      </c>
      <c r="D86" s="32">
        <v>39</v>
      </c>
      <c r="E86" s="28">
        <v>33.728434504792332</v>
      </c>
      <c r="F86" s="7">
        <f>TbItemVenda[[#This Row],[Quantidade]]*TbItemVenda[[#This Row],[Preço Unitário]]</f>
        <v>1315.408945686901</v>
      </c>
    </row>
    <row r="87" spans="1:6" hidden="1" x14ac:dyDescent="0.25">
      <c r="A87" s="5">
        <v>11</v>
      </c>
      <c r="B87" s="5">
        <v>2016</v>
      </c>
      <c r="C87" s="6" t="s">
        <v>8</v>
      </c>
      <c r="D87" s="33">
        <v>60</v>
      </c>
      <c r="E87" s="29">
        <v>57.192307692307693</v>
      </c>
      <c r="F87" s="7">
        <f>TbItemVenda[[#This Row],[Quantidade]]*TbItemVenda[[#This Row],[Preço Unitário]]</f>
        <v>3431.5384615384614</v>
      </c>
    </row>
    <row r="88" spans="1:6" hidden="1" x14ac:dyDescent="0.25">
      <c r="A88" s="3">
        <v>11</v>
      </c>
      <c r="B88" s="3">
        <v>2016</v>
      </c>
      <c r="C88" s="4" t="s">
        <v>9</v>
      </c>
      <c r="D88" s="32">
        <v>28</v>
      </c>
      <c r="E88" s="28">
        <v>56.950980392156865</v>
      </c>
      <c r="F88" s="7">
        <f>TbItemVenda[[#This Row],[Quantidade]]*TbItemVenda[[#This Row],[Preço Unitário]]</f>
        <v>1594.6274509803923</v>
      </c>
    </row>
    <row r="89" spans="1:6" hidden="1" x14ac:dyDescent="0.25">
      <c r="A89" s="5">
        <v>11</v>
      </c>
      <c r="B89" s="5">
        <v>2016</v>
      </c>
      <c r="C89" s="6" t="s">
        <v>10</v>
      </c>
      <c r="D89" s="33">
        <v>74</v>
      </c>
      <c r="E89" s="29">
        <v>45.662698412698411</v>
      </c>
      <c r="F89" s="7">
        <f>TbItemVenda[[#This Row],[Quantidade]]*TbItemVenda[[#This Row],[Preço Unitário]]</f>
        <v>3379.0396825396824</v>
      </c>
    </row>
    <row r="90" spans="1:6" x14ac:dyDescent="0.25">
      <c r="A90" s="3">
        <v>12</v>
      </c>
      <c r="B90" s="3">
        <v>2016</v>
      </c>
      <c r="C90" s="4" t="s">
        <v>3</v>
      </c>
      <c r="D90" s="32">
        <v>47</v>
      </c>
      <c r="E90" s="28">
        <v>26.282467532467532</v>
      </c>
      <c r="F90" s="7">
        <f>TbItemVenda[[#This Row],[Quantidade]]*TbItemVenda[[#This Row],[Preço Unitário]]</f>
        <v>1235.2759740259739</v>
      </c>
    </row>
    <row r="91" spans="1:6" x14ac:dyDescent="0.25">
      <c r="A91" s="5">
        <v>12</v>
      </c>
      <c r="B91" s="5">
        <v>2016</v>
      </c>
      <c r="C91" s="6" t="s">
        <v>4</v>
      </c>
      <c r="D91" s="33">
        <v>62</v>
      </c>
      <c r="E91" s="29">
        <v>63.984615384615381</v>
      </c>
      <c r="F91" s="7">
        <f>TbItemVenda[[#This Row],[Quantidade]]*TbItemVenda[[#This Row],[Preço Unitário]]</f>
        <v>3967.0461538461536</v>
      </c>
    </row>
    <row r="92" spans="1:6" hidden="1" x14ac:dyDescent="0.25">
      <c r="A92" s="3">
        <v>12</v>
      </c>
      <c r="B92" s="3">
        <v>2016</v>
      </c>
      <c r="C92" s="4" t="s">
        <v>5</v>
      </c>
      <c r="D92" s="32">
        <v>44</v>
      </c>
      <c r="E92" s="28">
        <v>44.949458483754512</v>
      </c>
      <c r="F92" s="7">
        <f>TbItemVenda[[#This Row],[Quantidade]]*TbItemVenda[[#This Row],[Preço Unitário]]</f>
        <v>1977.7761732851986</v>
      </c>
    </row>
    <row r="93" spans="1:6" hidden="1" x14ac:dyDescent="0.25">
      <c r="A93" s="5">
        <v>12</v>
      </c>
      <c r="B93" s="5">
        <v>2016</v>
      </c>
      <c r="C93" s="6" t="s">
        <v>6</v>
      </c>
      <c r="D93" s="33">
        <v>28</v>
      </c>
      <c r="E93" s="29">
        <v>24.631399317406142</v>
      </c>
      <c r="F93" s="7">
        <f>TbItemVenda[[#This Row],[Quantidade]]*TbItemVenda[[#This Row],[Preço Unitário]]</f>
        <v>689.67918088737201</v>
      </c>
    </row>
    <row r="94" spans="1:6" hidden="1" x14ac:dyDescent="0.25">
      <c r="A94" s="3">
        <v>12</v>
      </c>
      <c r="B94" s="3">
        <v>2016</v>
      </c>
      <c r="C94" s="4" t="s">
        <v>7</v>
      </c>
      <c r="D94" s="32">
        <v>66</v>
      </c>
      <c r="E94" s="28">
        <v>41.976271186440677</v>
      </c>
      <c r="F94" s="7">
        <f>TbItemVenda[[#This Row],[Quantidade]]*TbItemVenda[[#This Row],[Preço Unitário]]</f>
        <v>2770.4338983050848</v>
      </c>
    </row>
    <row r="95" spans="1:6" hidden="1" x14ac:dyDescent="0.25">
      <c r="A95" s="5">
        <v>12</v>
      </c>
      <c r="B95" s="5">
        <v>2016</v>
      </c>
      <c r="C95" s="6" t="s">
        <v>8</v>
      </c>
      <c r="D95" s="33">
        <v>61</v>
      </c>
      <c r="E95" s="29">
        <v>55.394321766561511</v>
      </c>
      <c r="F95" s="7">
        <f>TbItemVenda[[#This Row],[Quantidade]]*TbItemVenda[[#This Row],[Preço Unitário]]</f>
        <v>3379.0536277602523</v>
      </c>
    </row>
    <row r="96" spans="1:6" hidden="1" x14ac:dyDescent="0.25">
      <c r="A96" s="3">
        <v>12</v>
      </c>
      <c r="B96" s="3">
        <v>2016</v>
      </c>
      <c r="C96" s="4" t="s">
        <v>9</v>
      </c>
      <c r="D96" s="32">
        <v>28</v>
      </c>
      <c r="E96" s="28">
        <v>57.011450381679388</v>
      </c>
      <c r="F96" s="7">
        <f>TbItemVenda[[#This Row],[Quantidade]]*TbItemVenda[[#This Row],[Preço Unitário]]</f>
        <v>1596.320610687023</v>
      </c>
    </row>
    <row r="97" spans="1:6" hidden="1" x14ac:dyDescent="0.25">
      <c r="A97" s="5">
        <v>12</v>
      </c>
      <c r="B97" s="5">
        <v>2016</v>
      </c>
      <c r="C97" s="6" t="s">
        <v>10</v>
      </c>
      <c r="D97" s="33">
        <v>83</v>
      </c>
      <c r="E97" s="29">
        <v>66.840764331210195</v>
      </c>
      <c r="F97" s="7">
        <f>TbItemVenda[[#This Row],[Quantidade]]*TbItemVenda[[#This Row],[Preço Unitário]]</f>
        <v>5547.7834394904467</v>
      </c>
    </row>
    <row r="98" spans="1:6" hidden="1" x14ac:dyDescent="0.25">
      <c r="A98" s="3">
        <v>1</v>
      </c>
      <c r="B98" s="3">
        <v>2017</v>
      </c>
      <c r="C98" s="4" t="s">
        <v>3</v>
      </c>
      <c r="D98" s="32">
        <v>22</v>
      </c>
      <c r="E98" s="28">
        <v>11.635379061371841</v>
      </c>
      <c r="F98" s="7">
        <f>TbItemVenda[[#This Row],[Quantidade]]*TbItemVenda[[#This Row],[Preço Unitário]]</f>
        <v>255.97833935018051</v>
      </c>
    </row>
    <row r="99" spans="1:6" hidden="1" x14ac:dyDescent="0.25">
      <c r="A99" s="5">
        <v>1</v>
      </c>
      <c r="B99" s="5">
        <v>2017</v>
      </c>
      <c r="C99" s="6" t="s">
        <v>4</v>
      </c>
      <c r="D99" s="33">
        <v>49</v>
      </c>
      <c r="E99" s="29">
        <v>60.603225806451611</v>
      </c>
      <c r="F99" s="7">
        <f>TbItemVenda[[#This Row],[Quantidade]]*TbItemVenda[[#This Row],[Preço Unitário]]</f>
        <v>2969.558064516129</v>
      </c>
    </row>
    <row r="100" spans="1:6" hidden="1" x14ac:dyDescent="0.25">
      <c r="A100" s="3">
        <v>1</v>
      </c>
      <c r="B100" s="3">
        <v>2017</v>
      </c>
      <c r="C100" s="4" t="s">
        <v>5</v>
      </c>
      <c r="D100" s="32">
        <v>90</v>
      </c>
      <c r="E100" s="28">
        <v>25.253164556962027</v>
      </c>
      <c r="F100" s="7">
        <f>TbItemVenda[[#This Row],[Quantidade]]*TbItemVenda[[#This Row],[Preço Unitário]]</f>
        <v>2272.7848101265822</v>
      </c>
    </row>
    <row r="101" spans="1:6" hidden="1" x14ac:dyDescent="0.25">
      <c r="A101" s="5">
        <v>1</v>
      </c>
      <c r="B101" s="5">
        <v>2017</v>
      </c>
      <c r="C101" s="6" t="s">
        <v>6</v>
      </c>
      <c r="D101" s="33">
        <v>60</v>
      </c>
      <c r="E101" s="29">
        <v>47.585365853658537</v>
      </c>
      <c r="F101" s="7">
        <f>TbItemVenda[[#This Row],[Quantidade]]*TbItemVenda[[#This Row],[Preço Unitário]]</f>
        <v>2855.1219512195121</v>
      </c>
    </row>
    <row r="102" spans="1:6" hidden="1" x14ac:dyDescent="0.25">
      <c r="A102" s="3">
        <v>1</v>
      </c>
      <c r="B102" s="3">
        <v>2017</v>
      </c>
      <c r="C102" s="4" t="s">
        <v>7</v>
      </c>
      <c r="D102" s="32">
        <v>35</v>
      </c>
      <c r="E102" s="28">
        <v>63.655038759689923</v>
      </c>
      <c r="F102" s="7">
        <f>TbItemVenda[[#This Row],[Quantidade]]*TbItemVenda[[#This Row],[Preço Unitário]]</f>
        <v>2227.9263565891474</v>
      </c>
    </row>
    <row r="103" spans="1:6" hidden="1" x14ac:dyDescent="0.25">
      <c r="A103" s="5">
        <v>1</v>
      </c>
      <c r="B103" s="5">
        <v>2017</v>
      </c>
      <c r="C103" s="6" t="s">
        <v>8</v>
      </c>
      <c r="D103" s="33">
        <v>67</v>
      </c>
      <c r="E103" s="29">
        <v>40.134969325153371</v>
      </c>
      <c r="F103" s="7">
        <f>TbItemVenda[[#This Row],[Quantidade]]*TbItemVenda[[#This Row],[Preço Unitário]]</f>
        <v>2689.0429447852757</v>
      </c>
    </row>
    <row r="104" spans="1:6" hidden="1" x14ac:dyDescent="0.25">
      <c r="A104" s="3">
        <v>1</v>
      </c>
      <c r="B104" s="3">
        <v>2017</v>
      </c>
      <c r="C104" s="4" t="s">
        <v>9</v>
      </c>
      <c r="D104" s="32">
        <v>30</v>
      </c>
      <c r="E104" s="28">
        <v>64.858520900321537</v>
      </c>
      <c r="F104" s="7">
        <f>TbItemVenda[[#This Row],[Quantidade]]*TbItemVenda[[#This Row],[Preço Unitário]]</f>
        <v>1945.7556270096461</v>
      </c>
    </row>
    <row r="105" spans="1:6" hidden="1" x14ac:dyDescent="0.25">
      <c r="A105" s="5">
        <v>1</v>
      </c>
      <c r="B105" s="5">
        <v>2017</v>
      </c>
      <c r="C105" s="6" t="s">
        <v>10</v>
      </c>
      <c r="D105" s="33">
        <v>65</v>
      </c>
      <c r="E105" s="29">
        <v>81.05859375</v>
      </c>
      <c r="F105" s="7">
        <f>TbItemVenda[[#This Row],[Quantidade]]*TbItemVenda[[#This Row],[Preço Unitário]]</f>
        <v>5268.80859375</v>
      </c>
    </row>
    <row r="106" spans="1:6" hidden="1" x14ac:dyDescent="0.25">
      <c r="A106" s="3">
        <v>2</v>
      </c>
      <c r="B106" s="3">
        <v>2017</v>
      </c>
      <c r="C106" s="4" t="s">
        <v>3</v>
      </c>
      <c r="D106" s="32">
        <v>43</v>
      </c>
      <c r="E106" s="28">
        <v>17.274021352313166</v>
      </c>
      <c r="F106" s="7">
        <f>TbItemVenda[[#This Row],[Quantidade]]*TbItemVenda[[#This Row],[Preço Unitário]]</f>
        <v>742.78291814946613</v>
      </c>
    </row>
    <row r="107" spans="1:6" hidden="1" x14ac:dyDescent="0.25">
      <c r="A107" s="5">
        <v>2</v>
      </c>
      <c r="B107" s="5">
        <v>2017</v>
      </c>
      <c r="C107" s="6" t="s">
        <v>4</v>
      </c>
      <c r="D107" s="33">
        <v>46</v>
      </c>
      <c r="E107" s="29">
        <v>28.030508474576273</v>
      </c>
      <c r="F107" s="7">
        <f>TbItemVenda[[#This Row],[Quantidade]]*TbItemVenda[[#This Row],[Preço Unitário]]</f>
        <v>1289.4033898305086</v>
      </c>
    </row>
    <row r="108" spans="1:6" hidden="1" x14ac:dyDescent="0.25">
      <c r="A108" s="3">
        <v>2</v>
      </c>
      <c r="B108" s="3">
        <v>2017</v>
      </c>
      <c r="C108" s="4" t="s">
        <v>5</v>
      </c>
      <c r="D108" s="32">
        <v>82</v>
      </c>
      <c r="E108" s="28">
        <v>38.073333333333331</v>
      </c>
      <c r="F108" s="7">
        <f>TbItemVenda[[#This Row],[Quantidade]]*TbItemVenda[[#This Row],[Preço Unitário]]</f>
        <v>3122.0133333333333</v>
      </c>
    </row>
    <row r="109" spans="1:6" hidden="1" x14ac:dyDescent="0.25">
      <c r="A109" s="5">
        <v>2</v>
      </c>
      <c r="B109" s="5">
        <v>2017</v>
      </c>
      <c r="C109" s="6" t="s">
        <v>6</v>
      </c>
      <c r="D109" s="33">
        <v>45</v>
      </c>
      <c r="E109" s="29">
        <v>34.952978056426332</v>
      </c>
      <c r="F109" s="7">
        <f>TbItemVenda[[#This Row],[Quantidade]]*TbItemVenda[[#This Row],[Preço Unitário]]</f>
        <v>1572.8840125391848</v>
      </c>
    </row>
    <row r="110" spans="1:6" hidden="1" x14ac:dyDescent="0.25">
      <c r="A110" s="3">
        <v>2</v>
      </c>
      <c r="B110" s="3">
        <v>2017</v>
      </c>
      <c r="C110" s="4" t="s">
        <v>7</v>
      </c>
      <c r="D110" s="32">
        <v>47</v>
      </c>
      <c r="E110" s="28">
        <v>22.915094339622641</v>
      </c>
      <c r="F110" s="7">
        <f>TbItemVenda[[#This Row],[Quantidade]]*TbItemVenda[[#This Row],[Preço Unitário]]</f>
        <v>1077.0094339622642</v>
      </c>
    </row>
    <row r="111" spans="1:6" hidden="1" x14ac:dyDescent="0.25">
      <c r="A111" s="5">
        <v>2</v>
      </c>
      <c r="B111" s="5">
        <v>2017</v>
      </c>
      <c r="C111" s="6" t="s">
        <v>8</v>
      </c>
      <c r="D111" s="33">
        <v>56</v>
      </c>
      <c r="E111" s="29">
        <v>62.243346007604565</v>
      </c>
      <c r="F111" s="7">
        <f>TbItemVenda[[#This Row],[Quantidade]]*TbItemVenda[[#This Row],[Preço Unitário]]</f>
        <v>3485.6273764258558</v>
      </c>
    </row>
    <row r="112" spans="1:6" hidden="1" x14ac:dyDescent="0.25">
      <c r="A112" s="3">
        <v>2</v>
      </c>
      <c r="B112" s="3">
        <v>2017</v>
      </c>
      <c r="C112" s="4" t="s">
        <v>9</v>
      </c>
      <c r="D112" s="32">
        <v>57</v>
      </c>
      <c r="E112" s="28">
        <v>72.528239202657801</v>
      </c>
      <c r="F112" s="7">
        <f>TbItemVenda[[#This Row],[Quantidade]]*TbItemVenda[[#This Row],[Preço Unitário]]</f>
        <v>4134.1096345514943</v>
      </c>
    </row>
    <row r="113" spans="1:6" hidden="1" x14ac:dyDescent="0.25">
      <c r="A113" s="5">
        <v>2</v>
      </c>
      <c r="B113" s="5">
        <v>2017</v>
      </c>
      <c r="C113" s="6" t="s">
        <v>10</v>
      </c>
      <c r="D113" s="33">
        <v>59</v>
      </c>
      <c r="E113" s="29">
        <v>25.136094674556212</v>
      </c>
      <c r="F113" s="7">
        <f>TbItemVenda[[#This Row],[Quantidade]]*TbItemVenda[[#This Row],[Preço Unitário]]</f>
        <v>1483.0295857988165</v>
      </c>
    </row>
    <row r="114" spans="1:6" hidden="1" x14ac:dyDescent="0.25">
      <c r="A114" s="3">
        <v>3</v>
      </c>
      <c r="B114" s="3">
        <v>2017</v>
      </c>
      <c r="C114" s="4" t="s">
        <v>3</v>
      </c>
      <c r="D114" s="32">
        <v>28</v>
      </c>
      <c r="E114" s="28">
        <v>21.574257425742573</v>
      </c>
      <c r="F114" s="7">
        <f>TbItemVenda[[#This Row],[Quantidade]]*TbItemVenda[[#This Row],[Preço Unitário]]</f>
        <v>604.07920792079199</v>
      </c>
    </row>
    <row r="115" spans="1:6" hidden="1" x14ac:dyDescent="0.25">
      <c r="A115" s="5">
        <v>3</v>
      </c>
      <c r="B115" s="5">
        <v>2017</v>
      </c>
      <c r="C115" s="6" t="s">
        <v>4</v>
      </c>
      <c r="D115" s="33">
        <v>35</v>
      </c>
      <c r="E115" s="29">
        <v>34.494880546075088</v>
      </c>
      <c r="F115" s="7">
        <f>TbItemVenda[[#This Row],[Quantidade]]*TbItemVenda[[#This Row],[Preço Unitário]]</f>
        <v>1207.320819112628</v>
      </c>
    </row>
    <row r="116" spans="1:6" hidden="1" x14ac:dyDescent="0.25">
      <c r="A116" s="3">
        <v>3</v>
      </c>
      <c r="B116" s="3">
        <v>2017</v>
      </c>
      <c r="C116" s="4" t="s">
        <v>5</v>
      </c>
      <c r="D116" s="32">
        <v>41</v>
      </c>
      <c r="E116" s="28">
        <v>60.768292682926827</v>
      </c>
      <c r="F116" s="7">
        <f>TbItemVenda[[#This Row],[Quantidade]]*TbItemVenda[[#This Row],[Preço Unitário]]</f>
        <v>2491.5</v>
      </c>
    </row>
    <row r="117" spans="1:6" hidden="1" x14ac:dyDescent="0.25">
      <c r="A117" s="5">
        <v>3</v>
      </c>
      <c r="B117" s="5">
        <v>2017</v>
      </c>
      <c r="C117" s="6" t="s">
        <v>6</v>
      </c>
      <c r="D117" s="33">
        <v>51</v>
      </c>
      <c r="E117" s="29">
        <v>39.485294117647058</v>
      </c>
      <c r="F117" s="7">
        <f>TbItemVenda[[#This Row],[Quantidade]]*TbItemVenda[[#This Row],[Preço Unitário]]</f>
        <v>2013.75</v>
      </c>
    </row>
    <row r="118" spans="1:6" hidden="1" x14ac:dyDescent="0.25">
      <c r="A118" s="3">
        <v>3</v>
      </c>
      <c r="B118" s="3">
        <v>2017</v>
      </c>
      <c r="C118" s="4" t="s">
        <v>7</v>
      </c>
      <c r="D118" s="32">
        <v>82</v>
      </c>
      <c r="E118" s="28">
        <v>19.534534534534533</v>
      </c>
      <c r="F118" s="7">
        <f>TbItemVenda[[#This Row],[Quantidade]]*TbItemVenda[[#This Row],[Preço Unitário]]</f>
        <v>1601.8318318318318</v>
      </c>
    </row>
    <row r="119" spans="1:6" hidden="1" x14ac:dyDescent="0.25">
      <c r="A119" s="5">
        <v>3</v>
      </c>
      <c r="B119" s="5">
        <v>2017</v>
      </c>
      <c r="C119" s="6" t="s">
        <v>8</v>
      </c>
      <c r="D119" s="33">
        <v>26</v>
      </c>
      <c r="E119" s="29">
        <v>28.647761194029851</v>
      </c>
      <c r="F119" s="7">
        <f>TbItemVenda[[#This Row],[Quantidade]]*TbItemVenda[[#This Row],[Preço Unitário]]</f>
        <v>744.84179104477607</v>
      </c>
    </row>
    <row r="120" spans="1:6" hidden="1" x14ac:dyDescent="0.25">
      <c r="A120" s="3">
        <v>3</v>
      </c>
      <c r="B120" s="3">
        <v>2017</v>
      </c>
      <c r="C120" s="4" t="s">
        <v>9</v>
      </c>
      <c r="D120" s="32">
        <v>54</v>
      </c>
      <c r="E120" s="28">
        <v>52.413897280966765</v>
      </c>
      <c r="F120" s="7">
        <f>TbItemVenda[[#This Row],[Quantidade]]*TbItemVenda[[#This Row],[Preço Unitário]]</f>
        <v>2830.3504531722051</v>
      </c>
    </row>
    <row r="121" spans="1:6" hidden="1" x14ac:dyDescent="0.25">
      <c r="A121" s="5">
        <v>3</v>
      </c>
      <c r="B121" s="5">
        <v>2017</v>
      </c>
      <c r="C121" s="6" t="s">
        <v>10</v>
      </c>
      <c r="D121" s="33">
        <v>53</v>
      </c>
      <c r="E121" s="29">
        <v>37.147909967845656</v>
      </c>
      <c r="F121" s="7">
        <f>TbItemVenda[[#This Row],[Quantidade]]*TbItemVenda[[#This Row],[Preço Unitário]]</f>
        <v>1968.8392282958198</v>
      </c>
    </row>
    <row r="122" spans="1:6" hidden="1" x14ac:dyDescent="0.25">
      <c r="A122" s="3">
        <v>4</v>
      </c>
      <c r="B122" s="3">
        <v>2017</v>
      </c>
      <c r="C122" s="4" t="s">
        <v>3</v>
      </c>
      <c r="D122" s="32">
        <v>26</v>
      </c>
      <c r="E122" s="28">
        <v>21.463556851311953</v>
      </c>
      <c r="F122" s="7">
        <f>TbItemVenda[[#This Row],[Quantidade]]*TbItemVenda[[#This Row],[Preço Unitário]]</f>
        <v>558.05247813411074</v>
      </c>
    </row>
    <row r="123" spans="1:6" hidden="1" x14ac:dyDescent="0.25">
      <c r="A123" s="5">
        <v>4</v>
      </c>
      <c r="B123" s="5">
        <v>2017</v>
      </c>
      <c r="C123" s="6" t="s">
        <v>4</v>
      </c>
      <c r="D123" s="33">
        <v>45</v>
      </c>
      <c r="E123" s="29">
        <v>24.64</v>
      </c>
      <c r="F123" s="7">
        <f>TbItemVenda[[#This Row],[Quantidade]]*TbItemVenda[[#This Row],[Preço Unitário]]</f>
        <v>1108.8</v>
      </c>
    </row>
    <row r="124" spans="1:6" hidden="1" x14ac:dyDescent="0.25">
      <c r="A124" s="3">
        <v>4</v>
      </c>
      <c r="B124" s="3">
        <v>2017</v>
      </c>
      <c r="C124" s="4" t="s">
        <v>5</v>
      </c>
      <c r="D124" s="32">
        <v>47</v>
      </c>
      <c r="E124" s="28">
        <v>41.003039513677813</v>
      </c>
      <c r="F124" s="7">
        <f>TbItemVenda[[#This Row],[Quantidade]]*TbItemVenda[[#This Row],[Preço Unitário]]</f>
        <v>1927.1428571428571</v>
      </c>
    </row>
    <row r="125" spans="1:6" hidden="1" x14ac:dyDescent="0.25">
      <c r="A125" s="5">
        <v>4</v>
      </c>
      <c r="B125" s="5">
        <v>2017</v>
      </c>
      <c r="C125" s="6" t="s">
        <v>6</v>
      </c>
      <c r="D125" s="33">
        <v>68</v>
      </c>
      <c r="E125" s="29">
        <v>29.279605263157894</v>
      </c>
      <c r="F125" s="7">
        <f>TbItemVenda[[#This Row],[Quantidade]]*TbItemVenda[[#This Row],[Preço Unitário]]</f>
        <v>1991.0131578947369</v>
      </c>
    </row>
    <row r="126" spans="1:6" hidden="1" x14ac:dyDescent="0.25">
      <c r="A126" s="3">
        <v>4</v>
      </c>
      <c r="B126" s="3">
        <v>2017</v>
      </c>
      <c r="C126" s="4" t="s">
        <v>7</v>
      </c>
      <c r="D126" s="32">
        <v>62</v>
      </c>
      <c r="E126" s="28">
        <v>75.166666666666671</v>
      </c>
      <c r="F126" s="7">
        <f>TbItemVenda[[#This Row],[Quantidade]]*TbItemVenda[[#This Row],[Preço Unitário]]</f>
        <v>4660.3333333333339</v>
      </c>
    </row>
    <row r="127" spans="1:6" hidden="1" x14ac:dyDescent="0.25">
      <c r="A127" s="5">
        <v>4</v>
      </c>
      <c r="B127" s="5">
        <v>2017</v>
      </c>
      <c r="C127" s="6" t="s">
        <v>8</v>
      </c>
      <c r="D127" s="33">
        <v>41</v>
      </c>
      <c r="E127" s="29">
        <v>19.143695014662757</v>
      </c>
      <c r="F127" s="7">
        <f>TbItemVenda[[#This Row],[Quantidade]]*TbItemVenda[[#This Row],[Preço Unitário]]</f>
        <v>784.89149560117301</v>
      </c>
    </row>
    <row r="128" spans="1:6" hidden="1" x14ac:dyDescent="0.25">
      <c r="A128" s="3">
        <v>4</v>
      </c>
      <c r="B128" s="3">
        <v>2017</v>
      </c>
      <c r="C128" s="4" t="s">
        <v>9</v>
      </c>
      <c r="D128" s="32">
        <v>84</v>
      </c>
      <c r="E128" s="28">
        <v>54.949367088607595</v>
      </c>
      <c r="F128" s="7">
        <f>TbItemVenda[[#This Row],[Quantidade]]*TbItemVenda[[#This Row],[Preço Unitário]]</f>
        <v>4615.7468354430375</v>
      </c>
    </row>
    <row r="129" spans="1:6" hidden="1" x14ac:dyDescent="0.25">
      <c r="A129" s="5">
        <v>4</v>
      </c>
      <c r="B129" s="5">
        <v>2017</v>
      </c>
      <c r="C129" s="6" t="s">
        <v>10</v>
      </c>
      <c r="D129" s="33">
        <v>96</v>
      </c>
      <c r="E129" s="29">
        <v>81.135338345864668</v>
      </c>
      <c r="F129" s="7">
        <f>TbItemVenda[[#This Row],[Quantidade]]*TbItemVenda[[#This Row],[Preço Unitário]]</f>
        <v>7788.9924812030076</v>
      </c>
    </row>
    <row r="130" spans="1:6" hidden="1" x14ac:dyDescent="0.25">
      <c r="A130" s="3">
        <v>5</v>
      </c>
      <c r="B130" s="3">
        <v>2017</v>
      </c>
      <c r="C130" s="4" t="s">
        <v>3</v>
      </c>
      <c r="D130" s="32">
        <v>15</v>
      </c>
      <c r="E130" s="28">
        <v>15.350993377483444</v>
      </c>
      <c r="F130" s="7">
        <f>TbItemVenda[[#This Row],[Quantidade]]*TbItemVenda[[#This Row],[Preço Unitário]]</f>
        <v>230.26490066225168</v>
      </c>
    </row>
    <row r="131" spans="1:6" hidden="1" x14ac:dyDescent="0.25">
      <c r="A131" s="5">
        <v>5</v>
      </c>
      <c r="B131" s="5">
        <v>2017</v>
      </c>
      <c r="C131" s="6" t="s">
        <v>4</v>
      </c>
      <c r="D131" s="33">
        <v>48</v>
      </c>
      <c r="E131" s="29">
        <v>16.023880597014927</v>
      </c>
      <c r="F131" s="7">
        <f>TbItemVenda[[#This Row],[Quantidade]]*TbItemVenda[[#This Row],[Preço Unitário]]</f>
        <v>769.14626865671653</v>
      </c>
    </row>
    <row r="132" spans="1:6" hidden="1" x14ac:dyDescent="0.25">
      <c r="A132" s="3">
        <v>5</v>
      </c>
      <c r="B132" s="3">
        <v>2017</v>
      </c>
      <c r="C132" s="4" t="s">
        <v>5</v>
      </c>
      <c r="D132" s="32">
        <v>36</v>
      </c>
      <c r="E132" s="28">
        <v>30.315602836879432</v>
      </c>
      <c r="F132" s="7">
        <f>TbItemVenda[[#This Row],[Quantidade]]*TbItemVenda[[#This Row],[Preço Unitário]]</f>
        <v>1091.3617021276596</v>
      </c>
    </row>
    <row r="133" spans="1:6" hidden="1" x14ac:dyDescent="0.25">
      <c r="A133" s="5">
        <v>5</v>
      </c>
      <c r="B133" s="5">
        <v>2017</v>
      </c>
      <c r="C133" s="6" t="s">
        <v>6</v>
      </c>
      <c r="D133" s="33">
        <v>81</v>
      </c>
      <c r="E133" s="29">
        <v>40.26627218934911</v>
      </c>
      <c r="F133" s="7">
        <f>TbItemVenda[[#This Row],[Quantidade]]*TbItemVenda[[#This Row],[Preço Unitário]]</f>
        <v>3261.5680473372777</v>
      </c>
    </row>
    <row r="134" spans="1:6" hidden="1" x14ac:dyDescent="0.25">
      <c r="A134" s="3">
        <v>5</v>
      </c>
      <c r="B134" s="3">
        <v>2017</v>
      </c>
      <c r="C134" s="4" t="s">
        <v>7</v>
      </c>
      <c r="D134" s="32">
        <v>65</v>
      </c>
      <c r="E134" s="28">
        <v>61.794285714285714</v>
      </c>
      <c r="F134" s="7">
        <f>TbItemVenda[[#This Row],[Quantidade]]*TbItemVenda[[#This Row],[Preço Unitário]]</f>
        <v>4016.6285714285714</v>
      </c>
    </row>
    <row r="135" spans="1:6" hidden="1" x14ac:dyDescent="0.25">
      <c r="A135" s="5">
        <v>5</v>
      </c>
      <c r="B135" s="5">
        <v>2017</v>
      </c>
      <c r="C135" s="6" t="s">
        <v>8</v>
      </c>
      <c r="D135" s="33">
        <v>23</v>
      </c>
      <c r="E135" s="29">
        <v>56.233438485804413</v>
      </c>
      <c r="F135" s="7">
        <f>TbItemVenda[[#This Row],[Quantidade]]*TbItemVenda[[#This Row],[Preço Unitário]]</f>
        <v>1293.3690851735014</v>
      </c>
    </row>
    <row r="136" spans="1:6" hidden="1" x14ac:dyDescent="0.25">
      <c r="A136" s="3">
        <v>5</v>
      </c>
      <c r="B136" s="3">
        <v>2017</v>
      </c>
      <c r="C136" s="4" t="s">
        <v>9</v>
      </c>
      <c r="D136" s="32">
        <v>71</v>
      </c>
      <c r="E136" s="28">
        <v>57.80952380952381</v>
      </c>
      <c r="F136" s="7">
        <f>TbItemVenda[[#This Row],[Quantidade]]*TbItemVenda[[#This Row],[Preço Unitário]]</f>
        <v>4104.4761904761908</v>
      </c>
    </row>
    <row r="137" spans="1:6" hidden="1" x14ac:dyDescent="0.25">
      <c r="A137" s="5">
        <v>5</v>
      </c>
      <c r="B137" s="5">
        <v>2017</v>
      </c>
      <c r="C137" s="6" t="s">
        <v>10</v>
      </c>
      <c r="D137" s="33">
        <v>88</v>
      </c>
      <c r="E137" s="29">
        <v>56.89399293286219</v>
      </c>
      <c r="F137" s="7">
        <f>TbItemVenda[[#This Row],[Quantidade]]*TbItemVenda[[#This Row],[Preço Unitário]]</f>
        <v>5006.6713780918726</v>
      </c>
    </row>
    <row r="138" spans="1:6" hidden="1" x14ac:dyDescent="0.25">
      <c r="A138" s="3">
        <v>6</v>
      </c>
      <c r="B138" s="3">
        <v>2017</v>
      </c>
      <c r="C138" s="4" t="s">
        <v>3</v>
      </c>
      <c r="D138" s="32">
        <v>13</v>
      </c>
      <c r="E138" s="28">
        <v>25.262295081967213</v>
      </c>
      <c r="F138" s="7">
        <f>TbItemVenda[[#This Row],[Quantidade]]*TbItemVenda[[#This Row],[Preço Unitário]]</f>
        <v>328.40983606557376</v>
      </c>
    </row>
    <row r="139" spans="1:6" hidden="1" x14ac:dyDescent="0.25">
      <c r="A139" s="5">
        <v>6</v>
      </c>
      <c r="B139" s="5">
        <v>2017</v>
      </c>
      <c r="C139" s="6" t="s">
        <v>4</v>
      </c>
      <c r="D139" s="33">
        <v>29</v>
      </c>
      <c r="E139" s="29">
        <v>58.012903225806454</v>
      </c>
      <c r="F139" s="7">
        <f>TbItemVenda[[#This Row],[Quantidade]]*TbItemVenda[[#This Row],[Preço Unitário]]</f>
        <v>1682.3741935483872</v>
      </c>
    </row>
    <row r="140" spans="1:6" hidden="1" x14ac:dyDescent="0.25">
      <c r="A140" s="3">
        <v>6</v>
      </c>
      <c r="B140" s="3">
        <v>2017</v>
      </c>
      <c r="C140" s="4" t="s">
        <v>5</v>
      </c>
      <c r="D140" s="32">
        <v>45</v>
      </c>
      <c r="E140" s="28">
        <v>45.221088435374149</v>
      </c>
      <c r="F140" s="7">
        <f>TbItemVenda[[#This Row],[Quantidade]]*TbItemVenda[[#This Row],[Preço Unitário]]</f>
        <v>2034.9489795918366</v>
      </c>
    </row>
    <row r="141" spans="1:6" hidden="1" x14ac:dyDescent="0.25">
      <c r="A141" s="5">
        <v>6</v>
      </c>
      <c r="B141" s="5">
        <v>2017</v>
      </c>
      <c r="C141" s="6" t="s">
        <v>6</v>
      </c>
      <c r="D141" s="33">
        <v>35</v>
      </c>
      <c r="E141" s="29">
        <v>66.258899676375407</v>
      </c>
      <c r="F141" s="7">
        <f>TbItemVenda[[#This Row],[Quantidade]]*TbItemVenda[[#This Row],[Preço Unitário]]</f>
        <v>2319.0614886731391</v>
      </c>
    </row>
    <row r="142" spans="1:6" hidden="1" x14ac:dyDescent="0.25">
      <c r="A142" s="3">
        <v>6</v>
      </c>
      <c r="B142" s="3">
        <v>2017</v>
      </c>
      <c r="C142" s="4" t="s">
        <v>7</v>
      </c>
      <c r="D142" s="32">
        <v>60</v>
      </c>
      <c r="E142" s="28">
        <v>22.26158940397351</v>
      </c>
      <c r="F142" s="7">
        <f>TbItemVenda[[#This Row],[Quantidade]]*TbItemVenda[[#This Row],[Preço Unitário]]</f>
        <v>1335.6953642384105</v>
      </c>
    </row>
    <row r="143" spans="1:6" hidden="1" x14ac:dyDescent="0.25">
      <c r="A143" s="5">
        <v>6</v>
      </c>
      <c r="B143" s="5">
        <v>2017</v>
      </c>
      <c r="C143" s="6" t="s">
        <v>8</v>
      </c>
      <c r="D143" s="33">
        <v>40</v>
      </c>
      <c r="E143" s="29">
        <v>63.618749999999999</v>
      </c>
      <c r="F143" s="7">
        <f>TbItemVenda[[#This Row],[Quantidade]]*TbItemVenda[[#This Row],[Preço Unitário]]</f>
        <v>2544.75</v>
      </c>
    </row>
    <row r="144" spans="1:6" hidden="1" x14ac:dyDescent="0.25">
      <c r="A144" s="3">
        <v>6</v>
      </c>
      <c r="B144" s="3">
        <v>2017</v>
      </c>
      <c r="C144" s="4" t="s">
        <v>9</v>
      </c>
      <c r="D144" s="32">
        <v>47</v>
      </c>
      <c r="E144" s="28">
        <v>16.315186246418339</v>
      </c>
      <c r="F144" s="7">
        <f>TbItemVenda[[#This Row],[Quantidade]]*TbItemVenda[[#This Row],[Preço Unitário]]</f>
        <v>766.8137535816619</v>
      </c>
    </row>
    <row r="145" spans="1:6" hidden="1" x14ac:dyDescent="0.25">
      <c r="A145" s="5">
        <v>6</v>
      </c>
      <c r="B145" s="5">
        <v>2017</v>
      </c>
      <c r="C145" s="6" t="s">
        <v>10</v>
      </c>
      <c r="D145" s="33">
        <v>68</v>
      </c>
      <c r="E145" s="29">
        <v>40.734693877551024</v>
      </c>
      <c r="F145" s="7">
        <f>TbItemVenda[[#This Row],[Quantidade]]*TbItemVenda[[#This Row],[Preço Unitário]]</f>
        <v>2769.9591836734699</v>
      </c>
    </row>
    <row r="146" spans="1:6" hidden="1" x14ac:dyDescent="0.25">
      <c r="A146" s="3">
        <v>7</v>
      </c>
      <c r="B146" s="3">
        <v>2017</v>
      </c>
      <c r="C146" s="4" t="s">
        <v>3</v>
      </c>
      <c r="D146" s="32">
        <v>12</v>
      </c>
      <c r="E146" s="28">
        <v>30.699059561128525</v>
      </c>
      <c r="F146" s="7">
        <f>TbItemVenda[[#This Row],[Quantidade]]*TbItemVenda[[#This Row],[Preço Unitário]]</f>
        <v>368.38871473354232</v>
      </c>
    </row>
    <row r="147" spans="1:6" hidden="1" x14ac:dyDescent="0.25">
      <c r="A147" s="5">
        <v>7</v>
      </c>
      <c r="B147" s="5">
        <v>2017</v>
      </c>
      <c r="C147" s="6" t="s">
        <v>4</v>
      </c>
      <c r="D147" s="33">
        <v>79</v>
      </c>
      <c r="E147" s="29">
        <v>70.14195583596215</v>
      </c>
      <c r="F147" s="7">
        <f>TbItemVenda[[#This Row],[Quantidade]]*TbItemVenda[[#This Row],[Preço Unitário]]</f>
        <v>5541.2145110410102</v>
      </c>
    </row>
    <row r="148" spans="1:6" hidden="1" x14ac:dyDescent="0.25">
      <c r="A148" s="3">
        <v>7</v>
      </c>
      <c r="B148" s="3">
        <v>2017</v>
      </c>
      <c r="C148" s="4" t="s">
        <v>5</v>
      </c>
      <c r="D148" s="32">
        <v>82</v>
      </c>
      <c r="E148" s="28">
        <v>60.115079365079367</v>
      </c>
      <c r="F148" s="7">
        <f>TbItemVenda[[#This Row],[Quantidade]]*TbItemVenda[[#This Row],[Preço Unitário]]</f>
        <v>4929.436507936508</v>
      </c>
    </row>
    <row r="149" spans="1:6" hidden="1" x14ac:dyDescent="0.25">
      <c r="A149" s="5">
        <v>7</v>
      </c>
      <c r="B149" s="5">
        <v>2017</v>
      </c>
      <c r="C149" s="6" t="s">
        <v>6</v>
      </c>
      <c r="D149" s="33">
        <v>54</v>
      </c>
      <c r="E149" s="29">
        <v>35.788235294117648</v>
      </c>
      <c r="F149" s="7">
        <f>TbItemVenda[[#This Row],[Quantidade]]*TbItemVenda[[#This Row],[Preço Unitário]]</f>
        <v>1932.5647058823529</v>
      </c>
    </row>
    <row r="150" spans="1:6" hidden="1" x14ac:dyDescent="0.25">
      <c r="A150" s="3">
        <v>7</v>
      </c>
      <c r="B150" s="3">
        <v>2017</v>
      </c>
      <c r="C150" s="4" t="s">
        <v>7</v>
      </c>
      <c r="D150" s="32">
        <v>77</v>
      </c>
      <c r="E150" s="28">
        <v>31.530249110320284</v>
      </c>
      <c r="F150" s="7">
        <f>TbItemVenda[[#This Row],[Quantidade]]*TbItemVenda[[#This Row],[Preço Unitário]]</f>
        <v>2427.829181494662</v>
      </c>
    </row>
    <row r="151" spans="1:6" hidden="1" x14ac:dyDescent="0.25">
      <c r="A151" s="5">
        <v>7</v>
      </c>
      <c r="B151" s="5">
        <v>2017</v>
      </c>
      <c r="C151" s="6" t="s">
        <v>8</v>
      </c>
      <c r="D151" s="33">
        <v>27</v>
      </c>
      <c r="E151" s="29">
        <v>53.439688715953309</v>
      </c>
      <c r="F151" s="7">
        <f>TbItemVenda[[#This Row],[Quantidade]]*TbItemVenda[[#This Row],[Preço Unitário]]</f>
        <v>1442.8715953307394</v>
      </c>
    </row>
    <row r="152" spans="1:6" hidden="1" x14ac:dyDescent="0.25">
      <c r="A152" s="3">
        <v>7</v>
      </c>
      <c r="B152" s="3">
        <v>2017</v>
      </c>
      <c r="C152" s="4" t="s">
        <v>9</v>
      </c>
      <c r="D152" s="32">
        <v>57</v>
      </c>
      <c r="E152" s="28">
        <v>47.193442622950819</v>
      </c>
      <c r="F152" s="7">
        <f>TbItemVenda[[#This Row],[Quantidade]]*TbItemVenda[[#This Row],[Preço Unitário]]</f>
        <v>2690.0262295081966</v>
      </c>
    </row>
    <row r="153" spans="1:6" hidden="1" x14ac:dyDescent="0.25">
      <c r="A153" s="5">
        <v>7</v>
      </c>
      <c r="B153" s="5">
        <v>2017</v>
      </c>
      <c r="C153" s="6" t="s">
        <v>10</v>
      </c>
      <c r="D153" s="33">
        <v>100</v>
      </c>
      <c r="E153" s="29">
        <v>42.742690058479532</v>
      </c>
      <c r="F153" s="7">
        <f>TbItemVenda[[#This Row],[Quantidade]]*TbItemVenda[[#This Row],[Preço Unitário]]</f>
        <v>4274.2690058479529</v>
      </c>
    </row>
    <row r="154" spans="1:6" hidden="1" x14ac:dyDescent="0.25">
      <c r="A154" s="3">
        <v>8</v>
      </c>
      <c r="B154" s="3">
        <v>2017</v>
      </c>
      <c r="C154" s="4" t="s">
        <v>3</v>
      </c>
      <c r="D154" s="32">
        <v>10</v>
      </c>
      <c r="E154" s="28">
        <v>13.201986754966887</v>
      </c>
      <c r="F154" s="7">
        <f>TbItemVenda[[#This Row],[Quantidade]]*TbItemVenda[[#This Row],[Preço Unitário]]</f>
        <v>132.01986754966887</v>
      </c>
    </row>
    <row r="155" spans="1:6" hidden="1" x14ac:dyDescent="0.25">
      <c r="A155" s="5">
        <v>8</v>
      </c>
      <c r="B155" s="5">
        <v>2017</v>
      </c>
      <c r="C155" s="6" t="s">
        <v>4</v>
      </c>
      <c r="D155" s="33">
        <v>42</v>
      </c>
      <c r="E155" s="29">
        <v>81.199275362318843</v>
      </c>
      <c r="F155" s="7">
        <f>TbItemVenda[[#This Row],[Quantidade]]*TbItemVenda[[#This Row],[Preço Unitário]]</f>
        <v>3410.3695652173915</v>
      </c>
    </row>
    <row r="156" spans="1:6" hidden="1" x14ac:dyDescent="0.25">
      <c r="A156" s="3">
        <v>8</v>
      </c>
      <c r="B156" s="3">
        <v>2017</v>
      </c>
      <c r="C156" s="4" t="s">
        <v>5</v>
      </c>
      <c r="D156" s="32">
        <v>55</v>
      </c>
      <c r="E156" s="28">
        <v>72.520134228187914</v>
      </c>
      <c r="F156" s="7">
        <f>TbItemVenda[[#This Row],[Quantidade]]*TbItemVenda[[#This Row],[Preço Unitário]]</f>
        <v>3988.6073825503354</v>
      </c>
    </row>
    <row r="157" spans="1:6" hidden="1" x14ac:dyDescent="0.25">
      <c r="A157" s="5">
        <v>8</v>
      </c>
      <c r="B157" s="5">
        <v>2017</v>
      </c>
      <c r="C157" s="6" t="s">
        <v>6</v>
      </c>
      <c r="D157" s="33">
        <v>40</v>
      </c>
      <c r="E157" s="29">
        <v>45.306748466257666</v>
      </c>
      <c r="F157" s="7">
        <f>TbItemVenda[[#This Row],[Quantidade]]*TbItemVenda[[#This Row],[Preço Unitário]]</f>
        <v>1812.2699386503066</v>
      </c>
    </row>
    <row r="158" spans="1:6" hidden="1" x14ac:dyDescent="0.25">
      <c r="A158" s="3">
        <v>8</v>
      </c>
      <c r="B158" s="3">
        <v>2017</v>
      </c>
      <c r="C158" s="4" t="s">
        <v>7</v>
      </c>
      <c r="D158" s="32">
        <v>69</v>
      </c>
      <c r="E158" s="28">
        <v>44.598662207357862</v>
      </c>
      <c r="F158" s="7">
        <f>TbItemVenda[[#This Row],[Quantidade]]*TbItemVenda[[#This Row],[Preço Unitário]]</f>
        <v>3077.3076923076924</v>
      </c>
    </row>
    <row r="159" spans="1:6" hidden="1" x14ac:dyDescent="0.25">
      <c r="A159" s="5">
        <v>8</v>
      </c>
      <c r="B159" s="5">
        <v>2017</v>
      </c>
      <c r="C159" s="6" t="s">
        <v>8</v>
      </c>
      <c r="D159" s="33">
        <v>69</v>
      </c>
      <c r="E159" s="29">
        <v>73.268000000000001</v>
      </c>
      <c r="F159" s="7">
        <f>TbItemVenda[[#This Row],[Quantidade]]*TbItemVenda[[#This Row],[Preço Unitário]]</f>
        <v>5055.4920000000002</v>
      </c>
    </row>
    <row r="160" spans="1:6" hidden="1" x14ac:dyDescent="0.25">
      <c r="A160" s="3">
        <v>8</v>
      </c>
      <c r="B160" s="3">
        <v>2017</v>
      </c>
      <c r="C160" s="4" t="s">
        <v>9</v>
      </c>
      <c r="D160" s="32">
        <v>70</v>
      </c>
      <c r="E160" s="28">
        <v>26.880281690140844</v>
      </c>
      <c r="F160" s="7">
        <f>TbItemVenda[[#This Row],[Quantidade]]*TbItemVenda[[#This Row],[Preço Unitário]]</f>
        <v>1881.6197183098591</v>
      </c>
    </row>
    <row r="161" spans="1:6" hidden="1" x14ac:dyDescent="0.25">
      <c r="A161" s="5">
        <v>8</v>
      </c>
      <c r="B161" s="5">
        <v>2017</v>
      </c>
      <c r="C161" s="6" t="s">
        <v>10</v>
      </c>
      <c r="D161" s="33">
        <v>88</v>
      </c>
      <c r="E161" s="29">
        <v>36.514534883720927</v>
      </c>
      <c r="F161" s="7">
        <f>TbItemVenda[[#This Row],[Quantidade]]*TbItemVenda[[#This Row],[Preço Unitário]]</f>
        <v>3213.2790697674418</v>
      </c>
    </row>
    <row r="162" spans="1:6" hidden="1" x14ac:dyDescent="0.25">
      <c r="A162" s="3">
        <v>9</v>
      </c>
      <c r="B162" s="3">
        <v>2017</v>
      </c>
      <c r="C162" s="4" t="s">
        <v>3</v>
      </c>
      <c r="D162" s="32">
        <v>25</v>
      </c>
      <c r="E162" s="28">
        <v>20.861445783132531</v>
      </c>
      <c r="F162" s="7">
        <f>TbItemVenda[[#This Row],[Quantidade]]*TbItemVenda[[#This Row],[Preço Unitário]]</f>
        <v>521.53614457831327</v>
      </c>
    </row>
    <row r="163" spans="1:6" hidden="1" x14ac:dyDescent="0.25">
      <c r="A163" s="5">
        <v>9</v>
      </c>
      <c r="B163" s="5">
        <v>2017</v>
      </c>
      <c r="C163" s="6" t="s">
        <v>4</v>
      </c>
      <c r="D163" s="33">
        <v>31</v>
      </c>
      <c r="E163" s="29">
        <v>44.297935103244839</v>
      </c>
      <c r="F163" s="7">
        <f>TbItemVenda[[#This Row],[Quantidade]]*TbItemVenda[[#This Row],[Preço Unitário]]</f>
        <v>1373.2359882005901</v>
      </c>
    </row>
    <row r="164" spans="1:6" hidden="1" x14ac:dyDescent="0.25">
      <c r="A164" s="3">
        <v>9</v>
      </c>
      <c r="B164" s="3">
        <v>2017</v>
      </c>
      <c r="C164" s="4" t="s">
        <v>5</v>
      </c>
      <c r="D164" s="32">
        <v>52</v>
      </c>
      <c r="E164" s="28">
        <v>62.013651877133107</v>
      </c>
      <c r="F164" s="7">
        <f>TbItemVenda[[#This Row],[Quantidade]]*TbItemVenda[[#This Row],[Preço Unitário]]</f>
        <v>3224.7098976109214</v>
      </c>
    </row>
    <row r="165" spans="1:6" hidden="1" x14ac:dyDescent="0.25">
      <c r="A165" s="5">
        <v>9</v>
      </c>
      <c r="B165" s="5">
        <v>2017</v>
      </c>
      <c r="C165" s="6" t="s">
        <v>6</v>
      </c>
      <c r="D165" s="33">
        <v>45</v>
      </c>
      <c r="E165" s="29">
        <v>69.972222222222229</v>
      </c>
      <c r="F165" s="7">
        <f>TbItemVenda[[#This Row],[Quantidade]]*TbItemVenda[[#This Row],[Preço Unitário]]</f>
        <v>3148.7500000000005</v>
      </c>
    </row>
    <row r="166" spans="1:6" hidden="1" x14ac:dyDescent="0.25">
      <c r="A166" s="3">
        <v>9</v>
      </c>
      <c r="B166" s="3">
        <v>2017</v>
      </c>
      <c r="C166" s="4" t="s">
        <v>7</v>
      </c>
      <c r="D166" s="32">
        <v>58</v>
      </c>
      <c r="E166" s="28">
        <v>60.08653846153846</v>
      </c>
      <c r="F166" s="7">
        <f>TbItemVenda[[#This Row],[Quantidade]]*TbItemVenda[[#This Row],[Preço Unitário]]</f>
        <v>3485.0192307692305</v>
      </c>
    </row>
    <row r="167" spans="1:6" hidden="1" x14ac:dyDescent="0.25">
      <c r="A167" s="5">
        <v>9</v>
      </c>
      <c r="B167" s="5">
        <v>2017</v>
      </c>
      <c r="C167" s="6" t="s">
        <v>8</v>
      </c>
      <c r="D167" s="33">
        <v>98</v>
      </c>
      <c r="E167" s="29">
        <v>48.802325581395351</v>
      </c>
      <c r="F167" s="7">
        <f>TbItemVenda[[#This Row],[Quantidade]]*TbItemVenda[[#This Row],[Preço Unitário]]</f>
        <v>4782.6279069767443</v>
      </c>
    </row>
    <row r="168" spans="1:6" hidden="1" x14ac:dyDescent="0.25">
      <c r="A168" s="3">
        <v>9</v>
      </c>
      <c r="B168" s="3">
        <v>2017</v>
      </c>
      <c r="C168" s="4" t="s">
        <v>9</v>
      </c>
      <c r="D168" s="32">
        <v>91</v>
      </c>
      <c r="E168" s="28">
        <v>63.102649006622514</v>
      </c>
      <c r="F168" s="7">
        <f>TbItemVenda[[#This Row],[Quantidade]]*TbItemVenda[[#This Row],[Preço Unitário]]</f>
        <v>5742.3410596026488</v>
      </c>
    </row>
    <row r="169" spans="1:6" hidden="1" x14ac:dyDescent="0.25">
      <c r="A169" s="5">
        <v>9</v>
      </c>
      <c r="B169" s="5">
        <v>2017</v>
      </c>
      <c r="C169" s="6" t="s">
        <v>10</v>
      </c>
      <c r="D169" s="33">
        <v>94</v>
      </c>
      <c r="E169" s="29">
        <v>44.600628930817614</v>
      </c>
      <c r="F169" s="7">
        <f>TbItemVenda[[#This Row],[Quantidade]]*TbItemVenda[[#This Row],[Preço Unitário]]</f>
        <v>4192.4591194968552</v>
      </c>
    </row>
    <row r="170" spans="1:6" hidden="1" x14ac:dyDescent="0.25">
      <c r="A170" s="3">
        <v>10</v>
      </c>
      <c r="B170" s="3">
        <v>2017</v>
      </c>
      <c r="C170" s="4" t="s">
        <v>3</v>
      </c>
      <c r="D170" s="32">
        <v>47</v>
      </c>
      <c r="E170" s="28">
        <v>31.426877470355731</v>
      </c>
      <c r="F170" s="7">
        <f>TbItemVenda[[#This Row],[Quantidade]]*TbItemVenda[[#This Row],[Preço Unitário]]</f>
        <v>1477.0632411067193</v>
      </c>
    </row>
    <row r="171" spans="1:6" hidden="1" x14ac:dyDescent="0.25">
      <c r="A171" s="5">
        <v>10</v>
      </c>
      <c r="B171" s="5">
        <v>2017</v>
      </c>
      <c r="C171" s="6" t="s">
        <v>4</v>
      </c>
      <c r="D171" s="33">
        <v>67</v>
      </c>
      <c r="E171" s="29">
        <v>42.003174603174607</v>
      </c>
      <c r="F171" s="7">
        <f>TbItemVenda[[#This Row],[Quantidade]]*TbItemVenda[[#This Row],[Preço Unitário]]</f>
        <v>2814.2126984126985</v>
      </c>
    </row>
    <row r="172" spans="1:6" hidden="1" x14ac:dyDescent="0.25">
      <c r="A172" s="3">
        <v>10</v>
      </c>
      <c r="B172" s="3">
        <v>2017</v>
      </c>
      <c r="C172" s="4" t="s">
        <v>5</v>
      </c>
      <c r="D172" s="32">
        <v>82</v>
      </c>
      <c r="E172" s="28">
        <v>48.774480712166174</v>
      </c>
      <c r="F172" s="7">
        <f>TbItemVenda[[#This Row],[Quantidade]]*TbItemVenda[[#This Row],[Preço Unitário]]</f>
        <v>3999.5074183976262</v>
      </c>
    </row>
    <row r="173" spans="1:6" hidden="1" x14ac:dyDescent="0.25">
      <c r="A173" s="5">
        <v>10</v>
      </c>
      <c r="B173" s="5">
        <v>2017</v>
      </c>
      <c r="C173" s="6" t="s">
        <v>6</v>
      </c>
      <c r="D173" s="33">
        <v>60</v>
      </c>
      <c r="E173" s="29">
        <v>16.415624999999999</v>
      </c>
      <c r="F173" s="7">
        <f>TbItemVenda[[#This Row],[Quantidade]]*TbItemVenda[[#This Row],[Preço Unitário]]</f>
        <v>984.93749999999989</v>
      </c>
    </row>
    <row r="174" spans="1:6" hidden="1" x14ac:dyDescent="0.25">
      <c r="A174" s="3">
        <v>10</v>
      </c>
      <c r="B174" s="3">
        <v>2017</v>
      </c>
      <c r="C174" s="4" t="s">
        <v>7</v>
      </c>
      <c r="D174" s="32">
        <v>68</v>
      </c>
      <c r="E174" s="28">
        <v>52.73841059602649</v>
      </c>
      <c r="F174" s="7">
        <f>TbItemVenda[[#This Row],[Quantidade]]*TbItemVenda[[#This Row],[Preço Unitário]]</f>
        <v>3586.2119205298013</v>
      </c>
    </row>
    <row r="175" spans="1:6" hidden="1" x14ac:dyDescent="0.25">
      <c r="A175" s="5">
        <v>10</v>
      </c>
      <c r="B175" s="5">
        <v>2017</v>
      </c>
      <c r="C175" s="6" t="s">
        <v>8</v>
      </c>
      <c r="D175" s="33">
        <v>78</v>
      </c>
      <c r="E175" s="29">
        <v>38.1</v>
      </c>
      <c r="F175" s="7">
        <f>TbItemVenda[[#This Row],[Quantidade]]*TbItemVenda[[#This Row],[Preço Unitário]]</f>
        <v>2971.8</v>
      </c>
    </row>
    <row r="176" spans="1:6" hidden="1" x14ac:dyDescent="0.25">
      <c r="A176" s="3">
        <v>10</v>
      </c>
      <c r="B176" s="3">
        <v>2017</v>
      </c>
      <c r="C176" s="4" t="s">
        <v>9</v>
      </c>
      <c r="D176" s="32">
        <v>75</v>
      </c>
      <c r="E176" s="28">
        <v>31.744262295081967</v>
      </c>
      <c r="F176" s="7">
        <f>TbItemVenda[[#This Row],[Quantidade]]*TbItemVenda[[#This Row],[Preço Unitário]]</f>
        <v>2380.8196721311474</v>
      </c>
    </row>
    <row r="177" spans="1:6" hidden="1" x14ac:dyDescent="0.25">
      <c r="A177" s="5">
        <v>10</v>
      </c>
      <c r="B177" s="5">
        <v>2017</v>
      </c>
      <c r="C177" s="6" t="s">
        <v>10</v>
      </c>
      <c r="D177" s="33">
        <v>84</v>
      </c>
      <c r="E177" s="29">
        <v>30.85171102661597</v>
      </c>
      <c r="F177" s="7">
        <f>TbItemVenda[[#This Row],[Quantidade]]*TbItemVenda[[#This Row],[Preço Unitário]]</f>
        <v>2591.5437262357414</v>
      </c>
    </row>
    <row r="178" spans="1:6" hidden="1" x14ac:dyDescent="0.25">
      <c r="A178" s="3">
        <v>11</v>
      </c>
      <c r="B178" s="3">
        <v>2017</v>
      </c>
      <c r="C178" s="4" t="s">
        <v>3</v>
      </c>
      <c r="D178" s="32">
        <v>44</v>
      </c>
      <c r="E178" s="28">
        <v>18.636015325670499</v>
      </c>
      <c r="F178" s="7">
        <f>TbItemVenda[[#This Row],[Quantidade]]*TbItemVenda[[#This Row],[Preço Unitário]]</f>
        <v>819.98467432950201</v>
      </c>
    </row>
    <row r="179" spans="1:6" hidden="1" x14ac:dyDescent="0.25">
      <c r="A179" s="5">
        <v>11</v>
      </c>
      <c r="B179" s="5">
        <v>2017</v>
      </c>
      <c r="C179" s="6" t="s">
        <v>4</v>
      </c>
      <c r="D179" s="33">
        <v>31</v>
      </c>
      <c r="E179" s="29">
        <v>47.936936936936938</v>
      </c>
      <c r="F179" s="7">
        <f>TbItemVenda[[#This Row],[Quantidade]]*TbItemVenda[[#This Row],[Preço Unitário]]</f>
        <v>1486.0450450450451</v>
      </c>
    </row>
    <row r="180" spans="1:6" hidden="1" x14ac:dyDescent="0.25">
      <c r="A180" s="3">
        <v>11</v>
      </c>
      <c r="B180" s="3">
        <v>2017</v>
      </c>
      <c r="C180" s="4" t="s">
        <v>5</v>
      </c>
      <c r="D180" s="32">
        <v>36</v>
      </c>
      <c r="E180" s="28">
        <v>53.772058823529413</v>
      </c>
      <c r="F180" s="7">
        <f>TbItemVenda[[#This Row],[Quantidade]]*TbItemVenda[[#This Row],[Preço Unitário]]</f>
        <v>1935.7941176470588</v>
      </c>
    </row>
    <row r="181" spans="1:6" hidden="1" x14ac:dyDescent="0.25">
      <c r="A181" s="5">
        <v>11</v>
      </c>
      <c r="B181" s="5">
        <v>2017</v>
      </c>
      <c r="C181" s="6" t="s">
        <v>6</v>
      </c>
      <c r="D181" s="33">
        <v>72</v>
      </c>
      <c r="E181" s="29">
        <v>43.238095238095241</v>
      </c>
      <c r="F181" s="7">
        <f>TbItemVenda[[#This Row],[Quantidade]]*TbItemVenda[[#This Row],[Preço Unitário]]</f>
        <v>3113.1428571428573</v>
      </c>
    </row>
    <row r="182" spans="1:6" hidden="1" x14ac:dyDescent="0.25">
      <c r="A182" s="3">
        <v>11</v>
      </c>
      <c r="B182" s="3">
        <v>2017</v>
      </c>
      <c r="C182" s="4" t="s">
        <v>7</v>
      </c>
      <c r="D182" s="32">
        <v>52</v>
      </c>
      <c r="E182" s="28">
        <v>76.422145328719722</v>
      </c>
      <c r="F182" s="7">
        <f>TbItemVenda[[#This Row],[Quantidade]]*TbItemVenda[[#This Row],[Preço Unitário]]</f>
        <v>3973.9515570934254</v>
      </c>
    </row>
    <row r="183" spans="1:6" hidden="1" x14ac:dyDescent="0.25">
      <c r="A183" s="5">
        <v>11</v>
      </c>
      <c r="B183" s="5">
        <v>2017</v>
      </c>
      <c r="C183" s="6" t="s">
        <v>8</v>
      </c>
      <c r="D183" s="33">
        <v>59</v>
      </c>
      <c r="E183" s="29">
        <v>18.737037037037037</v>
      </c>
      <c r="F183" s="7">
        <f>TbItemVenda[[#This Row],[Quantidade]]*TbItemVenda[[#This Row],[Preço Unitário]]</f>
        <v>1105.4851851851852</v>
      </c>
    </row>
    <row r="184" spans="1:6" hidden="1" x14ac:dyDescent="0.25">
      <c r="A184" s="3">
        <v>11</v>
      </c>
      <c r="B184" s="3">
        <v>2017</v>
      </c>
      <c r="C184" s="4" t="s">
        <v>9</v>
      </c>
      <c r="D184" s="32">
        <v>100</v>
      </c>
      <c r="E184" s="28">
        <v>39.895348837209305</v>
      </c>
      <c r="F184" s="7">
        <f>TbItemVenda[[#This Row],[Quantidade]]*TbItemVenda[[#This Row],[Preço Unitário]]</f>
        <v>3989.5348837209303</v>
      </c>
    </row>
    <row r="185" spans="1:6" hidden="1" x14ac:dyDescent="0.25">
      <c r="A185" s="5">
        <v>11</v>
      </c>
      <c r="B185" s="5">
        <v>2017</v>
      </c>
      <c r="C185" s="6" t="s">
        <v>10</v>
      </c>
      <c r="D185" s="33">
        <v>48</v>
      </c>
      <c r="E185" s="29">
        <v>36.784615384615385</v>
      </c>
      <c r="F185" s="7">
        <f>TbItemVenda[[#This Row],[Quantidade]]*TbItemVenda[[#This Row],[Preço Unitário]]</f>
        <v>1765.6615384615384</v>
      </c>
    </row>
    <row r="186" spans="1:6" hidden="1" x14ac:dyDescent="0.25">
      <c r="A186" s="3">
        <v>12</v>
      </c>
      <c r="B186" s="3">
        <v>2017</v>
      </c>
      <c r="C186" s="4" t="s">
        <v>3</v>
      </c>
      <c r="D186" s="32">
        <v>44</v>
      </c>
      <c r="E186" s="28">
        <v>16.626262626262626</v>
      </c>
      <c r="F186" s="7">
        <f>TbItemVenda[[#This Row],[Quantidade]]*TbItemVenda[[#This Row],[Preço Unitário]]</f>
        <v>731.55555555555554</v>
      </c>
    </row>
    <row r="187" spans="1:6" hidden="1" x14ac:dyDescent="0.25">
      <c r="A187" s="5">
        <v>12</v>
      </c>
      <c r="B187" s="5">
        <v>2017</v>
      </c>
      <c r="C187" s="6" t="s">
        <v>4</v>
      </c>
      <c r="D187" s="33">
        <v>35</v>
      </c>
      <c r="E187" s="29">
        <v>57.245901639344261</v>
      </c>
      <c r="F187" s="7">
        <f>TbItemVenda[[#This Row],[Quantidade]]*TbItemVenda[[#This Row],[Preço Unitário]]</f>
        <v>2003.6065573770491</v>
      </c>
    </row>
    <row r="188" spans="1:6" hidden="1" x14ac:dyDescent="0.25">
      <c r="A188" s="3">
        <v>12</v>
      </c>
      <c r="B188" s="3">
        <v>2017</v>
      </c>
      <c r="C188" s="4" t="s">
        <v>5</v>
      </c>
      <c r="D188" s="32">
        <v>93</v>
      </c>
      <c r="E188" s="28">
        <v>42.07449856733524</v>
      </c>
      <c r="F188" s="7">
        <f>TbItemVenda[[#This Row],[Quantidade]]*TbItemVenda[[#This Row],[Preço Unitário]]</f>
        <v>3912.9283667621776</v>
      </c>
    </row>
    <row r="189" spans="1:6" hidden="1" x14ac:dyDescent="0.25">
      <c r="A189" s="5">
        <v>12</v>
      </c>
      <c r="B189" s="5">
        <v>2017</v>
      </c>
      <c r="C189" s="6" t="s">
        <v>6</v>
      </c>
      <c r="D189" s="33">
        <v>78</v>
      </c>
      <c r="E189" s="29">
        <v>17.941176470588236</v>
      </c>
      <c r="F189" s="7">
        <f>TbItemVenda[[#This Row],[Quantidade]]*TbItemVenda[[#This Row],[Preço Unitário]]</f>
        <v>1399.4117647058824</v>
      </c>
    </row>
    <row r="190" spans="1:6" hidden="1" x14ac:dyDescent="0.25">
      <c r="A190" s="3">
        <v>12</v>
      </c>
      <c r="B190" s="3">
        <v>2017</v>
      </c>
      <c r="C190" s="4" t="s">
        <v>7</v>
      </c>
      <c r="D190" s="32">
        <v>43</v>
      </c>
      <c r="E190" s="28">
        <v>64.741071428571431</v>
      </c>
      <c r="F190" s="7">
        <f>TbItemVenda[[#This Row],[Quantidade]]*TbItemVenda[[#This Row],[Preço Unitário]]</f>
        <v>2783.8660714285716</v>
      </c>
    </row>
    <row r="191" spans="1:6" hidden="1" x14ac:dyDescent="0.25">
      <c r="A191" s="5">
        <v>12</v>
      </c>
      <c r="B191" s="5">
        <v>2017</v>
      </c>
      <c r="C191" s="6" t="s">
        <v>8</v>
      </c>
      <c r="D191" s="33">
        <v>23</v>
      </c>
      <c r="E191" s="29">
        <v>59.401197604790418</v>
      </c>
      <c r="F191" s="7">
        <f>TbItemVenda[[#This Row],[Quantidade]]*TbItemVenda[[#This Row],[Preço Unitário]]</f>
        <v>1366.2275449101796</v>
      </c>
    </row>
    <row r="192" spans="1:6" hidden="1" x14ac:dyDescent="0.25">
      <c r="A192" s="3">
        <v>12</v>
      </c>
      <c r="B192" s="3">
        <v>2017</v>
      </c>
      <c r="C192" s="4" t="s">
        <v>9</v>
      </c>
      <c r="D192" s="32">
        <v>88</v>
      </c>
      <c r="E192" s="28">
        <v>51.942857142857143</v>
      </c>
      <c r="F192" s="7">
        <f>TbItemVenda[[#This Row],[Quantidade]]*TbItemVenda[[#This Row],[Preço Unitário]]</f>
        <v>4570.971428571429</v>
      </c>
    </row>
    <row r="193" spans="1:6" hidden="1" x14ac:dyDescent="0.25">
      <c r="A193" s="5">
        <v>12</v>
      </c>
      <c r="B193" s="5">
        <v>2017</v>
      </c>
      <c r="C193" s="6" t="s">
        <v>10</v>
      </c>
      <c r="D193" s="33">
        <v>90</v>
      </c>
      <c r="E193" s="29">
        <v>57.878980891719742</v>
      </c>
      <c r="F193" s="7">
        <f>TbItemVenda[[#This Row],[Quantidade]]*TbItemVenda[[#This Row],[Preço Unitário]]</f>
        <v>5209.1082802547771</v>
      </c>
    </row>
    <row r="194" spans="1:6" hidden="1" x14ac:dyDescent="0.25">
      <c r="A194" s="3">
        <v>1</v>
      </c>
      <c r="B194" s="3">
        <v>2018</v>
      </c>
      <c r="C194" s="4" t="s">
        <v>3</v>
      </c>
      <c r="D194" s="32">
        <v>42</v>
      </c>
      <c r="E194" s="28">
        <v>28.834355828220858</v>
      </c>
      <c r="F194" s="7">
        <f>TbItemVenda[[#This Row],[Quantidade]]*TbItemVenda[[#This Row],[Preço Unitário]]</f>
        <v>1211.0429447852759</v>
      </c>
    </row>
    <row r="195" spans="1:6" hidden="1" x14ac:dyDescent="0.25">
      <c r="A195" s="5">
        <v>1</v>
      </c>
      <c r="B195" s="5">
        <v>2018</v>
      </c>
      <c r="C195" s="6" t="s">
        <v>4</v>
      </c>
      <c r="D195" s="33">
        <v>63</v>
      </c>
      <c r="E195" s="29">
        <v>56.152173913043477</v>
      </c>
      <c r="F195" s="7">
        <f>TbItemVenda[[#This Row],[Quantidade]]*TbItemVenda[[#This Row],[Preço Unitário]]</f>
        <v>3537.586956521739</v>
      </c>
    </row>
    <row r="196" spans="1:6" hidden="1" x14ac:dyDescent="0.25">
      <c r="A196" s="3">
        <v>1</v>
      </c>
      <c r="B196" s="3">
        <v>2018</v>
      </c>
      <c r="C196" s="4" t="s">
        <v>5</v>
      </c>
      <c r="D196" s="32">
        <v>43</v>
      </c>
      <c r="E196" s="28">
        <v>47.735507246376812</v>
      </c>
      <c r="F196" s="7">
        <f>TbItemVenda[[#This Row],[Quantidade]]*TbItemVenda[[#This Row],[Preço Unitário]]</f>
        <v>2052.626811594203</v>
      </c>
    </row>
    <row r="197" spans="1:6" hidden="1" x14ac:dyDescent="0.25">
      <c r="A197" s="5">
        <v>1</v>
      </c>
      <c r="B197" s="5">
        <v>2018</v>
      </c>
      <c r="C197" s="6" t="s">
        <v>6</v>
      </c>
      <c r="D197" s="33">
        <v>70</v>
      </c>
      <c r="E197" s="29">
        <v>59.535384615384615</v>
      </c>
      <c r="F197" s="7">
        <f>TbItemVenda[[#This Row],[Quantidade]]*TbItemVenda[[#This Row],[Preço Unitário]]</f>
        <v>4167.4769230769234</v>
      </c>
    </row>
    <row r="198" spans="1:6" hidden="1" x14ac:dyDescent="0.25">
      <c r="A198" s="3">
        <v>1</v>
      </c>
      <c r="B198" s="3">
        <v>2018</v>
      </c>
      <c r="C198" s="4" t="s">
        <v>7</v>
      </c>
      <c r="D198" s="32">
        <v>98</v>
      </c>
      <c r="E198" s="28">
        <v>54.733333333333334</v>
      </c>
      <c r="F198" s="7">
        <f>TbItemVenda[[#This Row],[Quantidade]]*TbItemVenda[[#This Row],[Preço Unitário]]</f>
        <v>5363.8666666666668</v>
      </c>
    </row>
    <row r="199" spans="1:6" hidden="1" x14ac:dyDescent="0.25">
      <c r="A199" s="5">
        <v>1</v>
      </c>
      <c r="B199" s="5">
        <v>2018</v>
      </c>
      <c r="C199" s="6" t="s">
        <v>8</v>
      </c>
      <c r="D199" s="33">
        <v>43</v>
      </c>
      <c r="E199" s="29">
        <v>37.684848484848487</v>
      </c>
      <c r="F199" s="7">
        <f>TbItemVenda[[#This Row],[Quantidade]]*TbItemVenda[[#This Row],[Preço Unitário]]</f>
        <v>1620.4484848484849</v>
      </c>
    </row>
    <row r="200" spans="1:6" hidden="1" x14ac:dyDescent="0.25">
      <c r="A200" s="3">
        <v>1</v>
      </c>
      <c r="B200" s="3">
        <v>2018</v>
      </c>
      <c r="C200" s="4" t="s">
        <v>9</v>
      </c>
      <c r="D200" s="32">
        <v>43</v>
      </c>
      <c r="E200" s="28">
        <v>24.390532544378697</v>
      </c>
      <c r="F200" s="7">
        <f>TbItemVenda[[#This Row],[Quantidade]]*TbItemVenda[[#This Row],[Preço Unitário]]</f>
        <v>1048.792899408284</v>
      </c>
    </row>
    <row r="201" spans="1:6" hidden="1" x14ac:dyDescent="0.25">
      <c r="A201" s="5">
        <v>1</v>
      </c>
      <c r="B201" s="5">
        <v>2018</v>
      </c>
      <c r="C201" s="6" t="s">
        <v>10</v>
      </c>
      <c r="D201" s="33">
        <v>42</v>
      </c>
      <c r="E201" s="29">
        <v>40.641104294478531</v>
      </c>
      <c r="F201" s="7">
        <f>TbItemVenda[[#This Row],[Quantidade]]*TbItemVenda[[#This Row],[Preço Unitário]]</f>
        <v>1706.9263803680983</v>
      </c>
    </row>
    <row r="202" spans="1:6" hidden="1" x14ac:dyDescent="0.25">
      <c r="A202" s="3">
        <v>2</v>
      </c>
      <c r="B202" s="3">
        <v>2018</v>
      </c>
      <c r="C202" s="4" t="s">
        <v>3</v>
      </c>
      <c r="D202" s="32">
        <v>26</v>
      </c>
      <c r="E202" s="28">
        <v>23.367924528301888</v>
      </c>
      <c r="F202" s="7">
        <f>TbItemVenda[[#This Row],[Quantidade]]*TbItemVenda[[#This Row],[Preço Unitário]]</f>
        <v>607.56603773584914</v>
      </c>
    </row>
    <row r="203" spans="1:6" hidden="1" x14ac:dyDescent="0.25">
      <c r="A203" s="5">
        <v>2</v>
      </c>
      <c r="B203" s="5">
        <v>2018</v>
      </c>
      <c r="C203" s="6" t="s">
        <v>4</v>
      </c>
      <c r="D203" s="33">
        <v>35</v>
      </c>
      <c r="E203" s="29">
        <v>26.816993464052288</v>
      </c>
      <c r="F203" s="7">
        <f>TbItemVenda[[#This Row],[Quantidade]]*TbItemVenda[[#This Row],[Preço Unitário]]</f>
        <v>938.59477124183013</v>
      </c>
    </row>
    <row r="204" spans="1:6" hidden="1" x14ac:dyDescent="0.25">
      <c r="A204" s="3">
        <v>2</v>
      </c>
      <c r="B204" s="3">
        <v>2018</v>
      </c>
      <c r="C204" s="4" t="s">
        <v>5</v>
      </c>
      <c r="D204" s="32">
        <v>66</v>
      </c>
      <c r="E204" s="28">
        <v>48.751937984496124</v>
      </c>
      <c r="F204" s="7">
        <f>TbItemVenda[[#This Row],[Quantidade]]*TbItemVenda[[#This Row],[Preço Unitário]]</f>
        <v>3217.6279069767443</v>
      </c>
    </row>
    <row r="205" spans="1:6" hidden="1" x14ac:dyDescent="0.25">
      <c r="A205" s="5">
        <v>2</v>
      </c>
      <c r="B205" s="5">
        <v>2018</v>
      </c>
      <c r="C205" s="6" t="s">
        <v>6</v>
      </c>
      <c r="D205" s="33">
        <v>32</v>
      </c>
      <c r="E205" s="29">
        <v>58.104895104895107</v>
      </c>
      <c r="F205" s="7">
        <f>TbItemVenda[[#This Row],[Quantidade]]*TbItemVenda[[#This Row],[Preço Unitário]]</f>
        <v>1859.3566433566434</v>
      </c>
    </row>
    <row r="206" spans="1:6" hidden="1" x14ac:dyDescent="0.25">
      <c r="A206" s="3">
        <v>2</v>
      </c>
      <c r="B206" s="3">
        <v>2018</v>
      </c>
      <c r="C206" s="4" t="s">
        <v>7</v>
      </c>
      <c r="D206" s="32">
        <v>29</v>
      </c>
      <c r="E206" s="28">
        <v>78.879245283018861</v>
      </c>
      <c r="F206" s="7">
        <f>TbItemVenda[[#This Row],[Quantidade]]*TbItemVenda[[#This Row],[Preço Unitário]]</f>
        <v>2287.4981132075468</v>
      </c>
    </row>
    <row r="207" spans="1:6" hidden="1" x14ac:dyDescent="0.25">
      <c r="A207" s="5">
        <v>2</v>
      </c>
      <c r="B207" s="5">
        <v>2018</v>
      </c>
      <c r="C207" s="6" t="s">
        <v>8</v>
      </c>
      <c r="D207" s="33">
        <v>98</v>
      </c>
      <c r="E207" s="29">
        <v>53.617328519855597</v>
      </c>
      <c r="F207" s="7">
        <f>TbItemVenda[[#This Row],[Quantidade]]*TbItemVenda[[#This Row],[Preço Unitário]]</f>
        <v>5254.4981949458488</v>
      </c>
    </row>
    <row r="208" spans="1:6" hidden="1" x14ac:dyDescent="0.25">
      <c r="A208" s="3">
        <v>2</v>
      </c>
      <c r="B208" s="3">
        <v>2018</v>
      </c>
      <c r="C208" s="4" t="s">
        <v>9</v>
      </c>
      <c r="D208" s="32">
        <v>35</v>
      </c>
      <c r="E208" s="28">
        <v>59.993920972644375</v>
      </c>
      <c r="F208" s="7">
        <f>TbItemVenda[[#This Row],[Quantidade]]*TbItemVenda[[#This Row],[Preço Unitário]]</f>
        <v>2099.7872340425533</v>
      </c>
    </row>
    <row r="209" spans="1:6" hidden="1" x14ac:dyDescent="0.25">
      <c r="A209" s="5">
        <v>2</v>
      </c>
      <c r="B209" s="5">
        <v>2018</v>
      </c>
      <c r="C209" s="6" t="s">
        <v>10</v>
      </c>
      <c r="D209" s="33">
        <v>78</v>
      </c>
      <c r="E209" s="29">
        <v>23.959537572254334</v>
      </c>
      <c r="F209" s="7">
        <f>TbItemVenda[[#This Row],[Quantidade]]*TbItemVenda[[#This Row],[Preço Unitário]]</f>
        <v>1868.843930635838</v>
      </c>
    </row>
    <row r="210" spans="1:6" hidden="1" x14ac:dyDescent="0.25">
      <c r="A210" s="3">
        <v>3</v>
      </c>
      <c r="B210" s="3">
        <v>2018</v>
      </c>
      <c r="C210" s="4" t="s">
        <v>3</v>
      </c>
      <c r="D210" s="32">
        <v>34</v>
      </c>
      <c r="E210" s="28">
        <v>24.19047619047619</v>
      </c>
      <c r="F210" s="7">
        <f>TbItemVenda[[#This Row],[Quantidade]]*TbItemVenda[[#This Row],[Preço Unitário]]</f>
        <v>822.47619047619048</v>
      </c>
    </row>
    <row r="211" spans="1:6" hidden="1" x14ac:dyDescent="0.25">
      <c r="A211" s="5">
        <v>3</v>
      </c>
      <c r="B211" s="5">
        <v>2018</v>
      </c>
      <c r="C211" s="6" t="s">
        <v>4</v>
      </c>
      <c r="D211" s="33">
        <v>69</v>
      </c>
      <c r="E211" s="29">
        <v>29.338870431893689</v>
      </c>
      <c r="F211" s="7">
        <f>TbItemVenda[[#This Row],[Quantidade]]*TbItemVenda[[#This Row],[Preço Unitário]]</f>
        <v>2024.3820598006646</v>
      </c>
    </row>
    <row r="212" spans="1:6" hidden="1" x14ac:dyDescent="0.25">
      <c r="A212" s="3">
        <v>3</v>
      </c>
      <c r="B212" s="3">
        <v>2018</v>
      </c>
      <c r="C212" s="4" t="s">
        <v>5</v>
      </c>
      <c r="D212" s="32">
        <v>63</v>
      </c>
      <c r="E212" s="28">
        <v>51.93687707641196</v>
      </c>
      <c r="F212" s="7">
        <f>TbItemVenda[[#This Row],[Quantidade]]*TbItemVenda[[#This Row],[Preço Unitário]]</f>
        <v>3272.0232558139537</v>
      </c>
    </row>
    <row r="213" spans="1:6" hidden="1" x14ac:dyDescent="0.25">
      <c r="A213" s="5">
        <v>3</v>
      </c>
      <c r="B213" s="5">
        <v>2018</v>
      </c>
      <c r="C213" s="6" t="s">
        <v>6</v>
      </c>
      <c r="D213" s="33">
        <v>95</v>
      </c>
      <c r="E213" s="29">
        <v>25.751612903225805</v>
      </c>
      <c r="F213" s="7">
        <f>TbItemVenda[[#This Row],[Quantidade]]*TbItemVenda[[#This Row],[Preço Unitário]]</f>
        <v>2446.4032258064517</v>
      </c>
    </row>
    <row r="214" spans="1:6" hidden="1" x14ac:dyDescent="0.25">
      <c r="A214" s="3">
        <v>3</v>
      </c>
      <c r="B214" s="3">
        <v>2018</v>
      </c>
      <c r="C214" s="4" t="s">
        <v>7</v>
      </c>
      <c r="D214" s="32">
        <v>56</v>
      </c>
      <c r="E214" s="28">
        <v>48.81782945736434</v>
      </c>
      <c r="F214" s="7">
        <f>TbItemVenda[[#This Row],[Quantidade]]*TbItemVenda[[#This Row],[Preço Unitário]]</f>
        <v>2733.7984496124031</v>
      </c>
    </row>
    <row r="215" spans="1:6" hidden="1" x14ac:dyDescent="0.25">
      <c r="A215" s="5">
        <v>3</v>
      </c>
      <c r="B215" s="5">
        <v>2018</v>
      </c>
      <c r="C215" s="6" t="s">
        <v>8</v>
      </c>
      <c r="D215" s="33">
        <v>42</v>
      </c>
      <c r="E215" s="29">
        <v>46.286206896551725</v>
      </c>
      <c r="F215" s="7">
        <f>TbItemVenda[[#This Row],[Quantidade]]*TbItemVenda[[#This Row],[Preço Unitário]]</f>
        <v>1944.0206896551724</v>
      </c>
    </row>
    <row r="216" spans="1:6" hidden="1" x14ac:dyDescent="0.25">
      <c r="A216" s="3">
        <v>3</v>
      </c>
      <c r="B216" s="3">
        <v>2018</v>
      </c>
      <c r="C216" s="4" t="s">
        <v>9</v>
      </c>
      <c r="D216" s="32">
        <v>89</v>
      </c>
      <c r="E216" s="28">
        <v>30.69283276450512</v>
      </c>
      <c r="F216" s="7">
        <f>TbItemVenda[[#This Row],[Quantidade]]*TbItemVenda[[#This Row],[Preço Unitário]]</f>
        <v>2731.6621160409559</v>
      </c>
    </row>
    <row r="217" spans="1:6" hidden="1" x14ac:dyDescent="0.25">
      <c r="A217" s="5">
        <v>3</v>
      </c>
      <c r="B217" s="5">
        <v>2018</v>
      </c>
      <c r="C217" s="6" t="s">
        <v>10</v>
      </c>
      <c r="D217" s="33">
        <v>46</v>
      </c>
      <c r="E217" s="29">
        <v>55.388235294117649</v>
      </c>
      <c r="F217" s="7">
        <f>TbItemVenda[[#This Row],[Quantidade]]*TbItemVenda[[#This Row],[Preço Unitário]]</f>
        <v>2547.8588235294119</v>
      </c>
    </row>
    <row r="218" spans="1:6" hidden="1" x14ac:dyDescent="0.25">
      <c r="A218" s="3">
        <v>4</v>
      </c>
      <c r="B218" s="3">
        <v>2018</v>
      </c>
      <c r="C218" s="4" t="s">
        <v>3</v>
      </c>
      <c r="D218" s="32">
        <v>21</v>
      </c>
      <c r="E218" s="28">
        <v>27.061776061776062</v>
      </c>
      <c r="F218" s="7">
        <f>TbItemVenda[[#This Row],[Quantidade]]*TbItemVenda[[#This Row],[Preço Unitário]]</f>
        <v>568.29729729729729</v>
      </c>
    </row>
    <row r="219" spans="1:6" hidden="1" x14ac:dyDescent="0.25">
      <c r="A219" s="5">
        <v>4</v>
      </c>
      <c r="B219" s="5">
        <v>2018</v>
      </c>
      <c r="C219" s="6" t="s">
        <v>4</v>
      </c>
      <c r="D219" s="33">
        <v>56</v>
      </c>
      <c r="E219" s="29">
        <v>22.00380228136882</v>
      </c>
      <c r="F219" s="7">
        <f>TbItemVenda[[#This Row],[Quantidade]]*TbItemVenda[[#This Row],[Preço Unitário]]</f>
        <v>1232.2129277566539</v>
      </c>
    </row>
    <row r="220" spans="1:6" hidden="1" x14ac:dyDescent="0.25">
      <c r="A220" s="3">
        <v>4</v>
      </c>
      <c r="B220" s="3">
        <v>2018</v>
      </c>
      <c r="C220" s="4" t="s">
        <v>5</v>
      </c>
      <c r="D220" s="32">
        <v>65</v>
      </c>
      <c r="E220" s="28">
        <v>36.92</v>
      </c>
      <c r="F220" s="7">
        <f>TbItemVenda[[#This Row],[Quantidade]]*TbItemVenda[[#This Row],[Preço Unitário]]</f>
        <v>2399.8000000000002</v>
      </c>
    </row>
    <row r="221" spans="1:6" hidden="1" x14ac:dyDescent="0.25">
      <c r="A221" s="5">
        <v>4</v>
      </c>
      <c r="B221" s="5">
        <v>2018</v>
      </c>
      <c r="C221" s="6" t="s">
        <v>6</v>
      </c>
      <c r="D221" s="33">
        <v>91</v>
      </c>
      <c r="E221" s="29">
        <v>29.494661921708186</v>
      </c>
      <c r="F221" s="7">
        <f>TbItemVenda[[#This Row],[Quantidade]]*TbItemVenda[[#This Row],[Preço Unitário]]</f>
        <v>2684.0142348754448</v>
      </c>
    </row>
    <row r="222" spans="1:6" hidden="1" x14ac:dyDescent="0.25">
      <c r="A222" s="3">
        <v>4</v>
      </c>
      <c r="B222" s="3">
        <v>2018</v>
      </c>
      <c r="C222" s="4" t="s">
        <v>7</v>
      </c>
      <c r="D222" s="32">
        <v>53</v>
      </c>
      <c r="E222" s="28">
        <v>61.828571428571429</v>
      </c>
      <c r="F222" s="7">
        <f>TbItemVenda[[#This Row],[Quantidade]]*TbItemVenda[[#This Row],[Preço Unitário]]</f>
        <v>3276.9142857142856</v>
      </c>
    </row>
    <row r="223" spans="1:6" hidden="1" x14ac:dyDescent="0.25">
      <c r="A223" s="5">
        <v>4</v>
      </c>
      <c r="B223" s="5">
        <v>2018</v>
      </c>
      <c r="C223" s="6" t="s">
        <v>8</v>
      </c>
      <c r="D223" s="33">
        <v>40</v>
      </c>
      <c r="E223" s="29">
        <v>22.421404682274247</v>
      </c>
      <c r="F223" s="7">
        <f>TbItemVenda[[#This Row],[Quantidade]]*TbItemVenda[[#This Row],[Preço Unitário]]</f>
        <v>896.85618729096984</v>
      </c>
    </row>
    <row r="224" spans="1:6" hidden="1" x14ac:dyDescent="0.25">
      <c r="A224" s="3">
        <v>4</v>
      </c>
      <c r="B224" s="3">
        <v>2018</v>
      </c>
      <c r="C224" s="4" t="s">
        <v>9</v>
      </c>
      <c r="D224" s="32">
        <v>94</v>
      </c>
      <c r="E224" s="28">
        <v>53</v>
      </c>
      <c r="F224" s="7">
        <f>TbItemVenda[[#This Row],[Quantidade]]*TbItemVenda[[#This Row],[Preço Unitário]]</f>
        <v>4982</v>
      </c>
    </row>
    <row r="225" spans="1:6" hidden="1" x14ac:dyDescent="0.25">
      <c r="A225" s="5">
        <v>4</v>
      </c>
      <c r="B225" s="5">
        <v>2018</v>
      </c>
      <c r="C225" s="6" t="s">
        <v>10</v>
      </c>
      <c r="D225" s="33">
        <v>71</v>
      </c>
      <c r="E225" s="29">
        <v>84.052830188679252</v>
      </c>
      <c r="F225" s="7">
        <f>TbItemVenda[[#This Row],[Quantidade]]*TbItemVenda[[#This Row],[Preço Unitário]]</f>
        <v>5967.7509433962268</v>
      </c>
    </row>
    <row r="226" spans="1:6" hidden="1" x14ac:dyDescent="0.25">
      <c r="A226" s="3">
        <v>5</v>
      </c>
      <c r="B226" s="3">
        <v>2018</v>
      </c>
      <c r="C226" s="4" t="s">
        <v>3</v>
      </c>
      <c r="D226" s="32">
        <v>28</v>
      </c>
      <c r="E226" s="28">
        <v>29.801498127340825</v>
      </c>
      <c r="F226" s="7">
        <f>TbItemVenda[[#This Row],[Quantidade]]*TbItemVenda[[#This Row],[Preço Unitário]]</f>
        <v>834.44194756554305</v>
      </c>
    </row>
    <row r="227" spans="1:6" hidden="1" x14ac:dyDescent="0.25">
      <c r="A227" s="5">
        <v>5</v>
      </c>
      <c r="B227" s="5">
        <v>2018</v>
      </c>
      <c r="C227" s="6" t="s">
        <v>4</v>
      </c>
      <c r="D227" s="33">
        <v>33</v>
      </c>
      <c r="E227" s="29">
        <v>36.266932270916335</v>
      </c>
      <c r="F227" s="7">
        <f>TbItemVenda[[#This Row],[Quantidade]]*TbItemVenda[[#This Row],[Preço Unitário]]</f>
        <v>1196.8087649402391</v>
      </c>
    </row>
    <row r="228" spans="1:6" hidden="1" x14ac:dyDescent="0.25">
      <c r="A228" s="3">
        <v>5</v>
      </c>
      <c r="B228" s="3">
        <v>2018</v>
      </c>
      <c r="C228" s="4" t="s">
        <v>5</v>
      </c>
      <c r="D228" s="32">
        <v>63</v>
      </c>
      <c r="E228" s="28">
        <v>43.200598802395213</v>
      </c>
      <c r="F228" s="7">
        <f>TbItemVenda[[#This Row],[Quantidade]]*TbItemVenda[[#This Row],[Preço Unitário]]</f>
        <v>2721.6377245508984</v>
      </c>
    </row>
    <row r="229" spans="1:6" hidden="1" x14ac:dyDescent="0.25">
      <c r="A229" s="5">
        <v>5</v>
      </c>
      <c r="B229" s="5">
        <v>2018</v>
      </c>
      <c r="C229" s="6" t="s">
        <v>6</v>
      </c>
      <c r="D229" s="33">
        <v>92</v>
      </c>
      <c r="E229" s="29">
        <v>55.630434782608695</v>
      </c>
      <c r="F229" s="7">
        <f>TbItemVenda[[#This Row],[Quantidade]]*TbItemVenda[[#This Row],[Preço Unitário]]</f>
        <v>5118</v>
      </c>
    </row>
    <row r="230" spans="1:6" hidden="1" x14ac:dyDescent="0.25">
      <c r="A230" s="3">
        <v>5</v>
      </c>
      <c r="B230" s="3">
        <v>2018</v>
      </c>
      <c r="C230" s="4" t="s">
        <v>7</v>
      </c>
      <c r="D230" s="32">
        <v>67</v>
      </c>
      <c r="E230" s="28">
        <v>64.98571428571428</v>
      </c>
      <c r="F230" s="7">
        <f>TbItemVenda[[#This Row],[Quantidade]]*TbItemVenda[[#This Row],[Preço Unitário]]</f>
        <v>4354.0428571428565</v>
      </c>
    </row>
    <row r="231" spans="1:6" hidden="1" x14ac:dyDescent="0.25">
      <c r="A231" s="5">
        <v>5</v>
      </c>
      <c r="B231" s="5">
        <v>2018</v>
      </c>
      <c r="C231" s="6" t="s">
        <v>8</v>
      </c>
      <c r="D231" s="33">
        <v>27</v>
      </c>
      <c r="E231" s="29">
        <v>25.536000000000001</v>
      </c>
      <c r="F231" s="7">
        <f>TbItemVenda[[#This Row],[Quantidade]]*TbItemVenda[[#This Row],[Preço Unitário]]</f>
        <v>689.47199999999998</v>
      </c>
    </row>
    <row r="232" spans="1:6" hidden="1" x14ac:dyDescent="0.25">
      <c r="A232" s="3">
        <v>5</v>
      </c>
      <c r="B232" s="3">
        <v>2018</v>
      </c>
      <c r="C232" s="4" t="s">
        <v>9</v>
      </c>
      <c r="D232" s="32">
        <v>74</v>
      </c>
      <c r="E232" s="28">
        <v>49.468992248062015</v>
      </c>
      <c r="F232" s="7">
        <f>TbItemVenda[[#This Row],[Quantidade]]*TbItemVenda[[#This Row],[Preço Unitário]]</f>
        <v>3660.7054263565892</v>
      </c>
    </row>
    <row r="233" spans="1:6" hidden="1" x14ac:dyDescent="0.25">
      <c r="A233" s="5">
        <v>5</v>
      </c>
      <c r="B233" s="5">
        <v>2018</v>
      </c>
      <c r="C233" s="6" t="s">
        <v>10</v>
      </c>
      <c r="D233" s="33">
        <v>48</v>
      </c>
      <c r="E233" s="29">
        <v>16.20552147239264</v>
      </c>
      <c r="F233" s="7">
        <f>TbItemVenda[[#This Row],[Quantidade]]*TbItemVenda[[#This Row],[Preço Unitário]]</f>
        <v>777.86503067484671</v>
      </c>
    </row>
    <row r="234" spans="1:6" hidden="1" x14ac:dyDescent="0.25">
      <c r="A234" s="3">
        <v>6</v>
      </c>
      <c r="B234" s="3">
        <v>2018</v>
      </c>
      <c r="C234" s="4" t="s">
        <v>3</v>
      </c>
      <c r="D234" s="32">
        <v>33</v>
      </c>
      <c r="E234" s="28">
        <v>25.603124999999999</v>
      </c>
      <c r="F234" s="7">
        <f>TbItemVenda[[#This Row],[Quantidade]]*TbItemVenda[[#This Row],[Preço Unitário]]</f>
        <v>844.90312499999993</v>
      </c>
    </row>
    <row r="235" spans="1:6" hidden="1" x14ac:dyDescent="0.25">
      <c r="A235" s="5">
        <v>6</v>
      </c>
      <c r="B235" s="5">
        <v>2018</v>
      </c>
      <c r="C235" s="6" t="s">
        <v>4</v>
      </c>
      <c r="D235" s="33">
        <v>44</v>
      </c>
      <c r="E235" s="29">
        <v>62.428571428571431</v>
      </c>
      <c r="F235" s="7">
        <f>TbItemVenda[[#This Row],[Quantidade]]*TbItemVenda[[#This Row],[Preço Unitário]]</f>
        <v>2746.8571428571431</v>
      </c>
    </row>
    <row r="236" spans="1:6" hidden="1" x14ac:dyDescent="0.25">
      <c r="A236" s="3">
        <v>6</v>
      </c>
      <c r="B236" s="3">
        <v>2018</v>
      </c>
      <c r="C236" s="4" t="s">
        <v>5</v>
      </c>
      <c r="D236" s="32">
        <v>46</v>
      </c>
      <c r="E236" s="28">
        <v>60.272727272727273</v>
      </c>
      <c r="F236" s="7">
        <f>TbItemVenda[[#This Row],[Quantidade]]*TbItemVenda[[#This Row],[Preço Unitário]]</f>
        <v>2772.5454545454545</v>
      </c>
    </row>
    <row r="237" spans="1:6" hidden="1" x14ac:dyDescent="0.25">
      <c r="A237" s="5">
        <v>6</v>
      </c>
      <c r="B237" s="5">
        <v>2018</v>
      </c>
      <c r="C237" s="6" t="s">
        <v>6</v>
      </c>
      <c r="D237" s="33">
        <v>63</v>
      </c>
      <c r="E237" s="29">
        <v>60.545454545454547</v>
      </c>
      <c r="F237" s="7">
        <f>TbItemVenda[[#This Row],[Quantidade]]*TbItemVenda[[#This Row],[Preço Unitário]]</f>
        <v>3814.3636363636365</v>
      </c>
    </row>
    <row r="238" spans="1:6" hidden="1" x14ac:dyDescent="0.25">
      <c r="A238" s="3">
        <v>6</v>
      </c>
      <c r="B238" s="3">
        <v>2018</v>
      </c>
      <c r="C238" s="4" t="s">
        <v>7</v>
      </c>
      <c r="D238" s="32">
        <v>66</v>
      </c>
      <c r="E238" s="28">
        <v>48.421828908554573</v>
      </c>
      <c r="F238" s="7">
        <f>TbItemVenda[[#This Row],[Quantidade]]*TbItemVenda[[#This Row],[Preço Unitário]]</f>
        <v>3195.8407079646017</v>
      </c>
    </row>
    <row r="239" spans="1:6" hidden="1" x14ac:dyDescent="0.25">
      <c r="A239" s="5">
        <v>6</v>
      </c>
      <c r="B239" s="5">
        <v>2018</v>
      </c>
      <c r="C239" s="6" t="s">
        <v>8</v>
      </c>
      <c r="D239" s="33">
        <v>47</v>
      </c>
      <c r="E239" s="29">
        <v>77.172549019607843</v>
      </c>
      <c r="F239" s="7">
        <f>TbItemVenda[[#This Row],[Quantidade]]*TbItemVenda[[#This Row],[Preço Unitário]]</f>
        <v>3627.1098039215685</v>
      </c>
    </row>
    <row r="240" spans="1:6" hidden="1" x14ac:dyDescent="0.25">
      <c r="A240" s="3">
        <v>6</v>
      </c>
      <c r="B240" s="3">
        <v>2018</v>
      </c>
      <c r="C240" s="4" t="s">
        <v>9</v>
      </c>
      <c r="D240" s="32">
        <v>72</v>
      </c>
      <c r="E240" s="28">
        <v>59.370370370370374</v>
      </c>
      <c r="F240" s="7">
        <f>TbItemVenda[[#This Row],[Quantidade]]*TbItemVenda[[#This Row],[Preço Unitário]]</f>
        <v>4274.666666666667</v>
      </c>
    </row>
    <row r="241" spans="1:6" hidden="1" x14ac:dyDescent="0.25">
      <c r="A241" s="5">
        <v>6</v>
      </c>
      <c r="B241" s="5">
        <v>2018</v>
      </c>
      <c r="C241" s="6" t="s">
        <v>10</v>
      </c>
      <c r="D241" s="33">
        <v>36</v>
      </c>
      <c r="E241" s="29">
        <v>25.359712230215827</v>
      </c>
      <c r="F241" s="7">
        <f>TbItemVenda[[#This Row],[Quantidade]]*TbItemVenda[[#This Row],[Preço Unitário]]</f>
        <v>912.94964028776974</v>
      </c>
    </row>
    <row r="242" spans="1:6" hidden="1" x14ac:dyDescent="0.25">
      <c r="A242" s="3">
        <v>7</v>
      </c>
      <c r="B242" s="3">
        <v>2018</v>
      </c>
      <c r="C242" s="4" t="s">
        <v>3</v>
      </c>
      <c r="D242" s="32">
        <v>25</v>
      </c>
      <c r="E242" s="28">
        <v>24.891156462585034</v>
      </c>
      <c r="F242" s="7">
        <f>TbItemVenda[[#This Row],[Quantidade]]*TbItemVenda[[#This Row],[Preço Unitário]]</f>
        <v>622.2789115646259</v>
      </c>
    </row>
    <row r="243" spans="1:6" hidden="1" x14ac:dyDescent="0.25">
      <c r="A243" s="5">
        <v>7</v>
      </c>
      <c r="B243" s="5">
        <v>2018</v>
      </c>
      <c r="C243" s="6" t="s">
        <v>4</v>
      </c>
      <c r="D243" s="33">
        <v>33</v>
      </c>
      <c r="E243" s="29">
        <v>36.003412969283275</v>
      </c>
      <c r="F243" s="7">
        <f>TbItemVenda[[#This Row],[Quantidade]]*TbItemVenda[[#This Row],[Preço Unitário]]</f>
        <v>1188.1126279863481</v>
      </c>
    </row>
    <row r="244" spans="1:6" hidden="1" x14ac:dyDescent="0.25">
      <c r="A244" s="3">
        <v>7</v>
      </c>
      <c r="B244" s="3">
        <v>2018</v>
      </c>
      <c r="C244" s="4" t="s">
        <v>5</v>
      </c>
      <c r="D244" s="32">
        <v>87</v>
      </c>
      <c r="E244" s="28">
        <v>27.651651651651651</v>
      </c>
      <c r="F244" s="7">
        <f>TbItemVenda[[#This Row],[Quantidade]]*TbItemVenda[[#This Row],[Preço Unitário]]</f>
        <v>2405.6936936936936</v>
      </c>
    </row>
    <row r="245" spans="1:6" hidden="1" x14ac:dyDescent="0.25">
      <c r="A245" s="5">
        <v>7</v>
      </c>
      <c r="B245" s="5">
        <v>2018</v>
      </c>
      <c r="C245" s="6" t="s">
        <v>6</v>
      </c>
      <c r="D245" s="33">
        <v>39</v>
      </c>
      <c r="E245" s="29">
        <v>31.743034055727556</v>
      </c>
      <c r="F245" s="7">
        <f>TbItemVenda[[#This Row],[Quantidade]]*TbItemVenda[[#This Row],[Preço Unitário]]</f>
        <v>1237.9783281733746</v>
      </c>
    </row>
    <row r="246" spans="1:6" hidden="1" x14ac:dyDescent="0.25">
      <c r="A246" s="3">
        <v>7</v>
      </c>
      <c r="B246" s="3">
        <v>2018</v>
      </c>
      <c r="C246" s="4" t="s">
        <v>7</v>
      </c>
      <c r="D246" s="32">
        <v>78</v>
      </c>
      <c r="E246" s="28">
        <v>33.79874213836478</v>
      </c>
      <c r="F246" s="7">
        <f>TbItemVenda[[#This Row],[Quantidade]]*TbItemVenda[[#This Row],[Preço Unitário]]</f>
        <v>2636.3018867924529</v>
      </c>
    </row>
    <row r="247" spans="1:6" hidden="1" x14ac:dyDescent="0.25">
      <c r="A247" s="5">
        <v>7</v>
      </c>
      <c r="B247" s="5">
        <v>2018</v>
      </c>
      <c r="C247" s="6" t="s">
        <v>8</v>
      </c>
      <c r="D247" s="33">
        <v>77</v>
      </c>
      <c r="E247" s="29">
        <v>51.155115511551152</v>
      </c>
      <c r="F247" s="7">
        <f>TbItemVenda[[#This Row],[Quantidade]]*TbItemVenda[[#This Row],[Preço Unitário]]</f>
        <v>3938.9438943894388</v>
      </c>
    </row>
    <row r="248" spans="1:6" hidden="1" x14ac:dyDescent="0.25">
      <c r="A248" s="3">
        <v>7</v>
      </c>
      <c r="B248" s="3">
        <v>2018</v>
      </c>
      <c r="C248" s="4" t="s">
        <v>9</v>
      </c>
      <c r="D248" s="32">
        <v>58</v>
      </c>
      <c r="E248" s="28">
        <v>31.906354515050168</v>
      </c>
      <c r="F248" s="7">
        <f>TbItemVenda[[#This Row],[Quantidade]]*TbItemVenda[[#This Row],[Preço Unitário]]</f>
        <v>1850.5685618729099</v>
      </c>
    </row>
    <row r="249" spans="1:6" hidden="1" x14ac:dyDescent="0.25">
      <c r="A249" s="5">
        <v>7</v>
      </c>
      <c r="B249" s="5">
        <v>2018</v>
      </c>
      <c r="C249" s="6" t="s">
        <v>10</v>
      </c>
      <c r="D249" s="33">
        <v>66</v>
      </c>
      <c r="E249" s="29">
        <v>17.03095975232198</v>
      </c>
      <c r="F249" s="7">
        <f>TbItemVenda[[#This Row],[Quantidade]]*TbItemVenda[[#This Row],[Preço Unitário]]</f>
        <v>1124.0433436532508</v>
      </c>
    </row>
    <row r="250" spans="1:6" hidden="1" x14ac:dyDescent="0.25">
      <c r="A250" s="3">
        <v>8</v>
      </c>
      <c r="B250" s="3">
        <v>2018</v>
      </c>
      <c r="C250" s="4" t="s">
        <v>3</v>
      </c>
      <c r="D250" s="32">
        <v>31</v>
      </c>
      <c r="E250" s="28">
        <v>38.694444444444443</v>
      </c>
      <c r="F250" s="7">
        <f>TbItemVenda[[#This Row],[Quantidade]]*TbItemVenda[[#This Row],[Preço Unitário]]</f>
        <v>1199.5277777777778</v>
      </c>
    </row>
    <row r="251" spans="1:6" hidden="1" x14ac:dyDescent="0.25">
      <c r="A251" s="5">
        <v>8</v>
      </c>
      <c r="B251" s="5">
        <v>2018</v>
      </c>
      <c r="C251" s="6" t="s">
        <v>4</v>
      </c>
      <c r="D251" s="33">
        <v>74</v>
      </c>
      <c r="E251" s="29">
        <v>36.099099099099099</v>
      </c>
      <c r="F251" s="7">
        <f>TbItemVenda[[#This Row],[Quantidade]]*TbItemVenda[[#This Row],[Preço Unitário]]</f>
        <v>2671.3333333333335</v>
      </c>
    </row>
    <row r="252" spans="1:6" hidden="1" x14ac:dyDescent="0.25">
      <c r="A252" s="3">
        <v>8</v>
      </c>
      <c r="B252" s="3">
        <v>2018</v>
      </c>
      <c r="C252" s="4" t="s">
        <v>5</v>
      </c>
      <c r="D252" s="32">
        <v>90</v>
      </c>
      <c r="E252" s="28">
        <v>61.135646687697161</v>
      </c>
      <c r="F252" s="7">
        <f>TbItemVenda[[#This Row],[Quantidade]]*TbItemVenda[[#This Row],[Preço Unitário]]</f>
        <v>5502.2082018927449</v>
      </c>
    </row>
    <row r="253" spans="1:6" hidden="1" x14ac:dyDescent="0.25">
      <c r="A253" s="5">
        <v>8</v>
      </c>
      <c r="B253" s="5">
        <v>2018</v>
      </c>
      <c r="C253" s="6" t="s">
        <v>6</v>
      </c>
      <c r="D253" s="33">
        <v>30</v>
      </c>
      <c r="E253" s="29">
        <v>40.411347517730498</v>
      </c>
      <c r="F253" s="7">
        <f>TbItemVenda[[#This Row],[Quantidade]]*TbItemVenda[[#This Row],[Preço Unitário]]</f>
        <v>1212.3404255319149</v>
      </c>
    </row>
    <row r="254" spans="1:6" hidden="1" x14ac:dyDescent="0.25">
      <c r="A254" s="3">
        <v>8</v>
      </c>
      <c r="B254" s="3">
        <v>2018</v>
      </c>
      <c r="C254" s="4" t="s">
        <v>7</v>
      </c>
      <c r="D254" s="32">
        <v>25</v>
      </c>
      <c r="E254" s="28">
        <v>34.090566037735847</v>
      </c>
      <c r="F254" s="7">
        <f>TbItemVenda[[#This Row],[Quantidade]]*TbItemVenda[[#This Row],[Preço Unitário]]</f>
        <v>852.2641509433962</v>
      </c>
    </row>
    <row r="255" spans="1:6" hidden="1" x14ac:dyDescent="0.25">
      <c r="A255" s="5">
        <v>8</v>
      </c>
      <c r="B255" s="5">
        <v>2018</v>
      </c>
      <c r="C255" s="6" t="s">
        <v>8</v>
      </c>
      <c r="D255" s="33">
        <v>91</v>
      </c>
      <c r="E255" s="29">
        <v>75.767527675276753</v>
      </c>
      <c r="F255" s="7">
        <f>TbItemVenda[[#This Row],[Quantidade]]*TbItemVenda[[#This Row],[Preço Unitário]]</f>
        <v>6894.8450184501844</v>
      </c>
    </row>
    <row r="256" spans="1:6" hidden="1" x14ac:dyDescent="0.25">
      <c r="A256" s="3">
        <v>8</v>
      </c>
      <c r="B256" s="3">
        <v>2018</v>
      </c>
      <c r="C256" s="4" t="s">
        <v>9</v>
      </c>
      <c r="D256" s="32">
        <v>46</v>
      </c>
      <c r="E256" s="28">
        <v>59.245614035087719</v>
      </c>
      <c r="F256" s="7">
        <f>TbItemVenda[[#This Row],[Quantidade]]*TbItemVenda[[#This Row],[Preço Unitário]]</f>
        <v>2725.2982456140353</v>
      </c>
    </row>
    <row r="257" spans="1:6" hidden="1" x14ac:dyDescent="0.25">
      <c r="A257" s="5">
        <v>8</v>
      </c>
      <c r="B257" s="5">
        <v>2018</v>
      </c>
      <c r="C257" s="6" t="s">
        <v>10</v>
      </c>
      <c r="D257" s="33">
        <v>58</v>
      </c>
      <c r="E257" s="29">
        <v>66.517460317460319</v>
      </c>
      <c r="F257" s="7">
        <f>TbItemVenda[[#This Row],[Quantidade]]*TbItemVenda[[#This Row],[Preço Unitário]]</f>
        <v>3858.0126984126987</v>
      </c>
    </row>
    <row r="258" spans="1:6" hidden="1" x14ac:dyDescent="0.25">
      <c r="A258" s="3">
        <v>9</v>
      </c>
      <c r="B258" s="3">
        <v>2018</v>
      </c>
      <c r="C258" s="4" t="s">
        <v>3</v>
      </c>
      <c r="D258" s="32">
        <v>45</v>
      </c>
      <c r="E258" s="28">
        <v>12.959375</v>
      </c>
      <c r="F258" s="7">
        <f>TbItemVenda[[#This Row],[Quantidade]]*TbItemVenda[[#This Row],[Preço Unitário]]</f>
        <v>583.171875</v>
      </c>
    </row>
    <row r="259" spans="1:6" hidden="1" x14ac:dyDescent="0.25">
      <c r="A259" s="5">
        <v>9</v>
      </c>
      <c r="B259" s="5">
        <v>2018</v>
      </c>
      <c r="C259" s="6" t="s">
        <v>4</v>
      </c>
      <c r="D259" s="33">
        <v>53</v>
      </c>
      <c r="E259" s="29">
        <v>67.256916996047437</v>
      </c>
      <c r="F259" s="7">
        <f>TbItemVenda[[#This Row],[Quantidade]]*TbItemVenda[[#This Row],[Preço Unitário]]</f>
        <v>3564.616600790514</v>
      </c>
    </row>
    <row r="260" spans="1:6" hidden="1" x14ac:dyDescent="0.25">
      <c r="A260" s="3">
        <v>9</v>
      </c>
      <c r="B260" s="3">
        <v>2018</v>
      </c>
      <c r="C260" s="4" t="s">
        <v>5</v>
      </c>
      <c r="D260" s="32">
        <v>60</v>
      </c>
      <c r="E260" s="28">
        <v>20.346863468634687</v>
      </c>
      <c r="F260" s="7">
        <f>TbItemVenda[[#This Row],[Quantidade]]*TbItemVenda[[#This Row],[Preço Unitário]]</f>
        <v>1220.8118081180812</v>
      </c>
    </row>
    <row r="261" spans="1:6" hidden="1" x14ac:dyDescent="0.25">
      <c r="A261" s="5">
        <v>9</v>
      </c>
      <c r="B261" s="5">
        <v>2018</v>
      </c>
      <c r="C261" s="6" t="s">
        <v>6</v>
      </c>
      <c r="D261" s="33">
        <v>35</v>
      </c>
      <c r="E261" s="29">
        <v>65.816949152542378</v>
      </c>
      <c r="F261" s="7">
        <f>TbItemVenda[[#This Row],[Quantidade]]*TbItemVenda[[#This Row],[Preço Unitário]]</f>
        <v>2303.5932203389834</v>
      </c>
    </row>
    <row r="262" spans="1:6" hidden="1" x14ac:dyDescent="0.25">
      <c r="A262" s="3">
        <v>9</v>
      </c>
      <c r="B262" s="3">
        <v>2018</v>
      </c>
      <c r="C262" s="4" t="s">
        <v>7</v>
      </c>
      <c r="D262" s="32">
        <v>41</v>
      </c>
      <c r="E262" s="28">
        <v>39</v>
      </c>
      <c r="F262" s="7">
        <f>TbItemVenda[[#This Row],[Quantidade]]*TbItemVenda[[#This Row],[Preço Unitário]]</f>
        <v>1599</v>
      </c>
    </row>
    <row r="263" spans="1:6" hidden="1" x14ac:dyDescent="0.25">
      <c r="A263" s="5">
        <v>9</v>
      </c>
      <c r="B263" s="5">
        <v>2018</v>
      </c>
      <c r="C263" s="6" t="s">
        <v>8</v>
      </c>
      <c r="D263" s="33">
        <v>69</v>
      </c>
      <c r="E263" s="29">
        <v>61.006920415224911</v>
      </c>
      <c r="F263" s="7">
        <f>TbItemVenda[[#This Row],[Quantidade]]*TbItemVenda[[#This Row],[Preço Unitário]]</f>
        <v>4209.4775086505188</v>
      </c>
    </row>
    <row r="264" spans="1:6" hidden="1" x14ac:dyDescent="0.25">
      <c r="A264" s="3">
        <v>9</v>
      </c>
      <c r="B264" s="3">
        <v>2018</v>
      </c>
      <c r="C264" s="4" t="s">
        <v>9</v>
      </c>
      <c r="D264" s="32">
        <v>67</v>
      </c>
      <c r="E264" s="28">
        <v>35.710526315789473</v>
      </c>
      <c r="F264" s="7">
        <f>TbItemVenda[[#This Row],[Quantidade]]*TbItemVenda[[#This Row],[Preço Unitário]]</f>
        <v>2392.6052631578946</v>
      </c>
    </row>
    <row r="265" spans="1:6" hidden="1" x14ac:dyDescent="0.25">
      <c r="A265" s="5">
        <v>9</v>
      </c>
      <c r="B265" s="5">
        <v>2018</v>
      </c>
      <c r="C265" s="6" t="s">
        <v>10</v>
      </c>
      <c r="D265" s="33">
        <v>68</v>
      </c>
      <c r="E265" s="29">
        <v>75.885496183206101</v>
      </c>
      <c r="F265" s="7">
        <f>TbItemVenda[[#This Row],[Quantidade]]*TbItemVenda[[#This Row],[Preço Unitário]]</f>
        <v>5160.2137404580153</v>
      </c>
    </row>
    <row r="266" spans="1:6" hidden="1" x14ac:dyDescent="0.25">
      <c r="A266" s="3">
        <v>10</v>
      </c>
      <c r="B266" s="3">
        <v>2018</v>
      </c>
      <c r="C266" s="4" t="s">
        <v>3</v>
      </c>
      <c r="D266" s="32">
        <v>40</v>
      </c>
      <c r="E266" s="28">
        <v>22.527868852459015</v>
      </c>
      <c r="F266" s="7">
        <f>TbItemVenda[[#This Row],[Quantidade]]*TbItemVenda[[#This Row],[Preço Unitário]]</f>
        <v>901.11475409836066</v>
      </c>
    </row>
    <row r="267" spans="1:6" hidden="1" x14ac:dyDescent="0.25">
      <c r="A267" s="5">
        <v>10</v>
      </c>
      <c r="B267" s="5">
        <v>2018</v>
      </c>
      <c r="C267" s="6" t="s">
        <v>4</v>
      </c>
      <c r="D267" s="33">
        <v>54</v>
      </c>
      <c r="E267" s="29">
        <v>47.44027303754266</v>
      </c>
      <c r="F267" s="7">
        <f>TbItemVenda[[#This Row],[Quantidade]]*TbItemVenda[[#This Row],[Preço Unitário]]</f>
        <v>2561.7747440273038</v>
      </c>
    </row>
    <row r="268" spans="1:6" hidden="1" x14ac:dyDescent="0.25">
      <c r="A268" s="3">
        <v>10</v>
      </c>
      <c r="B268" s="3">
        <v>2018</v>
      </c>
      <c r="C268" s="4" t="s">
        <v>5</v>
      </c>
      <c r="D268" s="32">
        <v>92</v>
      </c>
      <c r="E268" s="28">
        <v>57.996845425867505</v>
      </c>
      <c r="F268" s="7">
        <f>TbItemVenda[[#This Row],[Quantidade]]*TbItemVenda[[#This Row],[Preço Unitário]]</f>
        <v>5335.7097791798105</v>
      </c>
    </row>
    <row r="269" spans="1:6" hidden="1" x14ac:dyDescent="0.25">
      <c r="A269" s="5">
        <v>10</v>
      </c>
      <c r="B269" s="5">
        <v>2018</v>
      </c>
      <c r="C269" s="6" t="s">
        <v>6</v>
      </c>
      <c r="D269" s="33">
        <v>55</v>
      </c>
      <c r="E269" s="29">
        <v>76.206896551724142</v>
      </c>
      <c r="F269" s="7">
        <f>TbItemVenda[[#This Row],[Quantidade]]*TbItemVenda[[#This Row],[Preço Unitário]]</f>
        <v>4191.3793103448279</v>
      </c>
    </row>
    <row r="270" spans="1:6" hidden="1" x14ac:dyDescent="0.25">
      <c r="A270" s="3">
        <v>10</v>
      </c>
      <c r="B270" s="3">
        <v>2018</v>
      </c>
      <c r="C270" s="4" t="s">
        <v>7</v>
      </c>
      <c r="D270" s="32">
        <v>78</v>
      </c>
      <c r="E270" s="28">
        <v>22.76872964169381</v>
      </c>
      <c r="F270" s="7">
        <f>TbItemVenda[[#This Row],[Quantidade]]*TbItemVenda[[#This Row],[Preço Unitário]]</f>
        <v>1775.9609120521172</v>
      </c>
    </row>
    <row r="271" spans="1:6" hidden="1" x14ac:dyDescent="0.25">
      <c r="A271" s="5">
        <v>10</v>
      </c>
      <c r="B271" s="5">
        <v>2018</v>
      </c>
      <c r="C271" s="6" t="s">
        <v>8</v>
      </c>
      <c r="D271" s="33">
        <v>96</v>
      </c>
      <c r="E271" s="29">
        <v>45.064516129032256</v>
      </c>
      <c r="F271" s="7">
        <f>TbItemVenda[[#This Row],[Quantidade]]*TbItemVenda[[#This Row],[Preço Unitário]]</f>
        <v>4326.1935483870966</v>
      </c>
    </row>
    <row r="272" spans="1:6" hidden="1" x14ac:dyDescent="0.25">
      <c r="A272" s="3">
        <v>10</v>
      </c>
      <c r="B272" s="3">
        <v>2018</v>
      </c>
      <c r="C272" s="4" t="s">
        <v>9</v>
      </c>
      <c r="D272" s="32">
        <v>95</v>
      </c>
      <c r="E272" s="28">
        <v>62.964179104477608</v>
      </c>
      <c r="F272" s="7">
        <f>TbItemVenda[[#This Row],[Quantidade]]*TbItemVenda[[#This Row],[Preço Unitário]]</f>
        <v>5981.5970149253726</v>
      </c>
    </row>
    <row r="273" spans="1:6" hidden="1" x14ac:dyDescent="0.25">
      <c r="A273" s="5">
        <v>10</v>
      </c>
      <c r="B273" s="5">
        <v>2018</v>
      </c>
      <c r="C273" s="6" t="s">
        <v>10</v>
      </c>
      <c r="D273" s="33">
        <v>82</v>
      </c>
      <c r="E273" s="29">
        <v>67.870090634441084</v>
      </c>
      <c r="F273" s="7">
        <f>TbItemVenda[[#This Row],[Quantidade]]*TbItemVenda[[#This Row],[Preço Unitário]]</f>
        <v>5565.3474320241685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tabSelected="1" workbookViewId="0">
      <selection activeCell="H14" sqref="H14"/>
    </sheetView>
  </sheetViews>
  <sheetFormatPr defaultColWidth="0" defaultRowHeight="15" x14ac:dyDescent="0.25"/>
  <cols>
    <col min="1" max="1" width="3" customWidth="1"/>
    <col min="2" max="4" width="14.7109375" customWidth="1"/>
    <col min="5" max="5" width="7.85546875" customWidth="1"/>
    <col min="6" max="6" width="14.7109375" customWidth="1"/>
    <col min="7" max="7" width="17.5703125" customWidth="1"/>
    <col min="8" max="8" width="8.140625" customWidth="1"/>
    <col min="9" max="13" width="14.7109375" customWidth="1"/>
    <col min="14" max="14" width="5.7109375" customWidth="1"/>
    <col min="15" max="16384" width="9.140625" hidden="1"/>
  </cols>
  <sheetData>
    <row r="1" spans="2:13" ht="35.1" customHeight="1" x14ac:dyDescent="0.25">
      <c r="B1" s="26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13" x14ac:dyDescent="0.25">
      <c r="B2" s="9" t="s">
        <v>13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2:13" x14ac:dyDescent="0.25">
      <c r="B4" s="10" t="s">
        <v>15</v>
      </c>
      <c r="C4" s="10"/>
      <c r="D4" s="10"/>
      <c r="F4" s="10" t="s">
        <v>16</v>
      </c>
      <c r="G4" s="10"/>
      <c r="I4" s="10" t="s">
        <v>17</v>
      </c>
      <c r="J4" s="10"/>
    </row>
    <row r="5" spans="2:13" x14ac:dyDescent="0.25">
      <c r="B5" s="15" t="s">
        <v>2</v>
      </c>
      <c r="C5" s="21" t="s">
        <v>18</v>
      </c>
      <c r="D5" s="21" t="s">
        <v>11</v>
      </c>
      <c r="F5" s="15" t="s">
        <v>2</v>
      </c>
      <c r="G5" s="21" t="s">
        <v>1</v>
      </c>
      <c r="I5" s="15" t="s">
        <v>2</v>
      </c>
      <c r="J5" s="21" t="s">
        <v>1</v>
      </c>
    </row>
    <row r="6" spans="2:13" x14ac:dyDescent="0.25">
      <c r="B6" s="10" t="s">
        <v>3</v>
      </c>
      <c r="C6" s="11">
        <v>12</v>
      </c>
      <c r="D6" s="12">
        <v>21.97406340057637</v>
      </c>
      <c r="E6" s="20"/>
      <c r="F6" s="38" t="s">
        <v>3</v>
      </c>
      <c r="G6" s="36">
        <v>2016</v>
      </c>
      <c r="I6" s="22" t="s">
        <v>4</v>
      </c>
      <c r="J6" s="36">
        <v>2016</v>
      </c>
    </row>
    <row r="7" spans="2:13" x14ac:dyDescent="0.25">
      <c r="B7" t="s">
        <v>4</v>
      </c>
      <c r="C7" s="13">
        <v>59</v>
      </c>
      <c r="D7" s="14">
        <v>54.121621621621621</v>
      </c>
      <c r="E7" s="20"/>
      <c r="F7" s="39"/>
      <c r="G7" s="37"/>
      <c r="I7" s="23" t="s">
        <v>3</v>
      </c>
      <c r="J7" s="37"/>
    </row>
    <row r="8" spans="2:13" x14ac:dyDescent="0.25">
      <c r="B8" t="s">
        <v>5</v>
      </c>
      <c r="C8" s="13">
        <v>77</v>
      </c>
      <c r="D8" s="14">
        <v>37.773946360153253</v>
      </c>
      <c r="E8" s="20"/>
      <c r="F8" s="10"/>
      <c r="G8" s="10"/>
      <c r="I8" s="10"/>
      <c r="J8" s="10"/>
    </row>
    <row r="9" spans="2:13" x14ac:dyDescent="0.25">
      <c r="B9" t="s">
        <v>6</v>
      </c>
      <c r="C9" s="13">
        <v>33</v>
      </c>
      <c r="D9" s="14">
        <v>32.54807692307692</v>
      </c>
      <c r="E9" s="20"/>
      <c r="F9" s="24" t="s">
        <v>14</v>
      </c>
      <c r="G9" s="25" cm="1">
        <f t="array" ref="G9">SUMPRODUCT((TbItemVenda[Vendedor]=F6)*(TbItemVenda[Ano]=G6),TbItemVenda[Quantidade],TbItemVenda[Preço Unitário])</f>
        <v>7474.0611257348191</v>
      </c>
      <c r="I9" s="24" t="s">
        <v>14</v>
      </c>
      <c r="J9" s="25" cm="1">
        <f t="array" ref="J9">SUMPRODUCT(((TbItemVenda[Vendedor]=I6)+(TbItemVenda[Vendedor]=I7))*(TbItemVenda[Ano]=J6),TbItemVenda[Quantidade],TbItemVenda[Preço Unitário])</f>
        <v>38933.241005711279</v>
      </c>
    </row>
    <row r="10" spans="2:13" x14ac:dyDescent="0.25">
      <c r="B10" s="15" t="s">
        <v>7</v>
      </c>
      <c r="C10" s="16">
        <v>51</v>
      </c>
      <c r="D10" s="17">
        <v>75.493006993006986</v>
      </c>
      <c r="E10" s="20"/>
      <c r="F10" s="15"/>
      <c r="G10" s="15"/>
      <c r="I10" s="15"/>
      <c r="J10" s="15"/>
    </row>
    <row r="11" spans="2:13" x14ac:dyDescent="0.25">
      <c r="B11" s="18" t="s">
        <v>14</v>
      </c>
      <c r="C11" s="18"/>
      <c r="D11" s="19">
        <f>SUMPRODUCT(C6:C10,D6:D10)</f>
        <v>11289.688201319288</v>
      </c>
    </row>
    <row r="13" spans="2:13" x14ac:dyDescent="0.25">
      <c r="F13" s="27"/>
      <c r="G13" s="27"/>
      <c r="H13" s="27"/>
      <c r="I13" s="27"/>
      <c r="J13" s="27"/>
    </row>
    <row r="14" spans="2:13" x14ac:dyDescent="0.25">
      <c r="F14" s="27"/>
      <c r="G14" s="27"/>
      <c r="H14" s="27"/>
      <c r="I14" s="27"/>
      <c r="J14" s="27"/>
    </row>
    <row r="15" spans="2:13" x14ac:dyDescent="0.25">
      <c r="F15" s="27"/>
      <c r="G15" s="1"/>
      <c r="H15" s="27"/>
      <c r="I15" s="27"/>
      <c r="J15" s="27"/>
    </row>
    <row r="16" spans="2:13" x14ac:dyDescent="0.25">
      <c r="F16" s="27"/>
      <c r="G16" s="1"/>
      <c r="H16" s="27"/>
      <c r="I16" s="27"/>
      <c r="J16" s="27"/>
    </row>
    <row r="17" spans="4:10" x14ac:dyDescent="0.25">
      <c r="F17" s="27"/>
      <c r="G17" s="1"/>
      <c r="H17" s="27"/>
      <c r="I17" s="27"/>
      <c r="J17" s="27"/>
    </row>
    <row r="18" spans="4:10" x14ac:dyDescent="0.25">
      <c r="F18" s="27"/>
      <c r="G18" s="27"/>
      <c r="H18" s="27"/>
      <c r="I18" s="27"/>
      <c r="J18" s="27"/>
    </row>
    <row r="19" spans="4:10" x14ac:dyDescent="0.25">
      <c r="D19" s="7"/>
    </row>
  </sheetData>
  <mergeCells count="3">
    <mergeCell ref="G6:G7"/>
    <mergeCell ref="J6:J7"/>
    <mergeCell ref="F6:F7"/>
  </mergeCells>
  <dataValidations count="1">
    <dataValidation type="list" allowBlank="1" showInputMessage="1" showErrorMessage="1" sqref="F6:F7 I6 I7" xr:uid="{00000000-0002-0000-0100-000000000000}">
      <formula1>"Anakin,Barry Allen,Kal-El,Logan,Padmé Amidala,Rachel Roth,Victor Von Doom,Wanda Maximoff"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BaseDados</vt:lpstr>
      <vt:lpstr>SomarProduto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2019-03-06T00:28:55Z</dcterms:created>
  <dcterms:modified xsi:type="dcterms:W3CDTF">2024-02-20T21:40:04Z</dcterms:modified>
</cp:coreProperties>
</file>