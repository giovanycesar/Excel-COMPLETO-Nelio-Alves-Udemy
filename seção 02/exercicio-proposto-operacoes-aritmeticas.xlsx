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2\"/>
    </mc:Choice>
  </mc:AlternateContent>
  <xr:revisionPtr revIDLastSave="0" documentId="13_ncr:1_{7DA0FAE1-41E2-454B-A3F1-0D7618CE8E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ercício Operações Aritméticas" sheetId="3" r:id="rId1"/>
    <sheet name="Gabari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17" i="3"/>
  <c r="D18" i="3"/>
  <c r="D19" i="3"/>
  <c r="D15" i="3"/>
  <c r="J9" i="3"/>
  <c r="I9" i="3"/>
  <c r="J6" i="3"/>
  <c r="J7" i="3"/>
  <c r="J8" i="3"/>
  <c r="J5" i="3"/>
  <c r="I6" i="3"/>
  <c r="I7" i="3"/>
  <c r="I8" i="3"/>
  <c r="I5" i="3"/>
  <c r="G9" i="3"/>
  <c r="H9" i="3"/>
  <c r="F9" i="3"/>
  <c r="H8" i="3"/>
  <c r="H6" i="3"/>
  <c r="H7" i="3"/>
  <c r="H5" i="3"/>
  <c r="C9" i="3"/>
  <c r="D9" i="3"/>
  <c r="E9" i="3"/>
  <c r="E6" i="3"/>
  <c r="E7" i="3"/>
  <c r="E8" i="3"/>
  <c r="E5" i="3"/>
  <c r="D9" i="1"/>
  <c r="F9" i="1"/>
  <c r="G9" i="1"/>
  <c r="C9" i="1"/>
  <c r="J5" i="1" l="1"/>
  <c r="E5" i="1"/>
  <c r="D16" i="1"/>
  <c r="D17" i="1"/>
  <c r="D18" i="1"/>
  <c r="D19" i="1"/>
  <c r="D15" i="1"/>
  <c r="E6" i="1"/>
  <c r="H6" i="1" s="1"/>
  <c r="I6" i="1" s="1"/>
  <c r="E7" i="1"/>
  <c r="H7" i="1" s="1"/>
  <c r="E8" i="1"/>
  <c r="H8" i="1"/>
  <c r="I8" i="1" s="1"/>
  <c r="J6" i="1"/>
  <c r="J7" i="1"/>
  <c r="J8" i="1"/>
  <c r="H5" i="1" l="1"/>
  <c r="E9" i="1"/>
  <c r="J9" i="1"/>
  <c r="I7" i="1"/>
  <c r="I5" i="1" l="1"/>
  <c r="H9" i="1"/>
  <c r="I9" i="1" s="1"/>
</calcChain>
</file>

<file path=xl/sharedStrings.xml><?xml version="1.0" encoding="utf-8"?>
<sst xmlns="http://schemas.openxmlformats.org/spreadsheetml/2006/main" count="58" uniqueCount="26">
  <si>
    <t>MÊS</t>
  </si>
  <si>
    <t>LITROS</t>
  </si>
  <si>
    <t>KM RODADOS</t>
  </si>
  <si>
    <t>RESUMO DE GASTOS DOS VEÍCULOS</t>
  </si>
  <si>
    <t>GASTO COM COMBUSTÍVEL</t>
  </si>
  <si>
    <t>GASTO COM PEÇAS</t>
  </si>
  <si>
    <t>GASTO COM SERVIÇOS</t>
  </si>
  <si>
    <t>GASTO
TOTAL</t>
  </si>
  <si>
    <t>GASTO POR KM</t>
  </si>
  <si>
    <t>RENDIMENTO DE COMBUSTÍVEL</t>
  </si>
  <si>
    <t>ANO</t>
  </si>
  <si>
    <t>PLACA</t>
  </si>
  <si>
    <t>AAA-1111</t>
  </si>
  <si>
    <t>AAA-2222</t>
  </si>
  <si>
    <t>AAA-3333</t>
  </si>
  <si>
    <t>AAA-4444</t>
  </si>
  <si>
    <t>TOTAL</t>
  </si>
  <si>
    <t>Janeiro</t>
  </si>
  <si>
    <t>Fevereiro</t>
  </si>
  <si>
    <t>Março</t>
  </si>
  <si>
    <t>Abril</t>
  </si>
  <si>
    <t>Maio</t>
  </si>
  <si>
    <t>Preço combustível</t>
  </si>
  <si>
    <t>COMPARATIVO COM A META DE GASTO/KM</t>
  </si>
  <si>
    <t>Meta de Gasto/Km</t>
  </si>
  <si>
    <t>VARIAÇÃO EM RELAÇÃO À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</si>
</sst>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* #,##0.00_-;\-&quot;R$&quot;* #,##0.00_-;_-&quot;R$&quot;* &quot;-&quot;??_-;_-@_-"/>
    <numFmt numFmtId="165" formatCode="&quot;R$&quot;\ #,##0.000"/>
    <numFmt numFmtId="166" formatCode="&quot;R$&quot;\ #,##0.0000"/>
    <numFmt numFmtId="167" formatCode="0.000"/>
    <numFmt numFmtId="168" formatCode="_-&quot;R$&quot;* #,##0.0000_-;\-&quot;R$&quot;* #,##0.0000_-;_-&quot;R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5"/>
      <color theme="1" tint="0.34998626667073579"/>
      <name val="Arial Black"/>
      <family val="2"/>
    </font>
    <font>
      <b/>
      <sz val="11"/>
      <color theme="5" tint="-0.249977111117893"/>
      <name val="Calibri"/>
      <family val="2"/>
      <scheme val="minor"/>
    </font>
    <font>
      <sz val="11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/>
      <diagonal/>
    </border>
    <border>
      <left/>
      <right/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1" fillId="0" borderId="4" xfId="0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0" fontId="0" fillId="0" borderId="4" xfId="0" applyNumberFormat="1" applyBorder="1" applyAlignment="1">
      <alignment horizontal="right" vertical="center"/>
    </xf>
    <xf numFmtId="167" fontId="0" fillId="0" borderId="0" xfId="0" applyNumberForma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2" fontId="1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topLeftCell="A3" workbookViewId="0">
      <selection activeCell="D15" sqref="D15:D19"/>
    </sheetView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25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6"/>
      <c r="C3" s="27"/>
      <c r="D3" s="27"/>
      <c r="E3" s="27"/>
      <c r="F3" s="27"/>
      <c r="G3" s="27"/>
      <c r="H3" s="15">
        <v>4.899</v>
      </c>
      <c r="I3" s="16" t="s">
        <v>21</v>
      </c>
      <c r="J3" s="16">
        <v>2018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SUM(E5:G5)</f>
        <v>1546.6378</v>
      </c>
      <c r="I5" s="20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 t="shared" ref="E6:E9" si="0">D6*$H$3</f>
        <v>1098.3558</v>
      </c>
      <c r="F6" s="20">
        <v>250</v>
      </c>
      <c r="G6" s="20">
        <v>35</v>
      </c>
      <c r="H6" s="20">
        <f t="shared" ref="H6:H8" si="1">SUM(E6:G6)</f>
        <v>1383.3558</v>
      </c>
      <c r="I6" s="20">
        <f t="shared" ref="I6:I8" si="2">H6/C6</f>
        <v>0.7094132307692308</v>
      </c>
      <c r="J6" s="5">
        <f t="shared" ref="J6:J8" si="3"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 t="shared" si="0"/>
        <v>1210.0530000000001</v>
      </c>
      <c r="F7" s="20">
        <v>180</v>
      </c>
      <c r="G7" s="20">
        <v>56</v>
      </c>
      <c r="H7" s="20">
        <f t="shared" si="1"/>
        <v>1446.0530000000001</v>
      </c>
      <c r="I7" s="20">
        <f t="shared" si="2"/>
        <v>0.57383055555555562</v>
      </c>
      <c r="J7" s="5">
        <f t="shared" si="3"/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 t="shared" si="0"/>
        <v>575.63250000000005</v>
      </c>
      <c r="F8" s="20">
        <v>95</v>
      </c>
      <c r="G8" s="20">
        <v>0</v>
      </c>
      <c r="H8" s="20">
        <f t="shared" si="1"/>
        <v>670.63250000000005</v>
      </c>
      <c r="I8" s="20">
        <f t="shared" si="2"/>
        <v>0.47562588652482274</v>
      </c>
      <c r="J8" s="5">
        <f t="shared" si="3"/>
        <v>12</v>
      </c>
    </row>
    <row r="9" spans="2:13" ht="20.100000000000001" customHeight="1" x14ac:dyDescent="0.25">
      <c r="B9" s="22" t="s">
        <v>16</v>
      </c>
      <c r="C9" s="8">
        <f>SUM(C5:C8)</f>
        <v>7230</v>
      </c>
      <c r="D9" s="7">
        <f>SUM(D5:D8)</f>
        <v>730.9</v>
      </c>
      <c r="E9" s="19">
        <f>SUM(E5:E8)</f>
        <v>3580.6791000000003</v>
      </c>
      <c r="F9" s="19">
        <f>SUM(F5:F8)</f>
        <v>1025</v>
      </c>
      <c r="G9" s="19">
        <f t="shared" ref="G9:I9" si="4">SUM(G5:G8)</f>
        <v>441</v>
      </c>
      <c r="H9" s="19">
        <f t="shared" si="4"/>
        <v>5046.6790999999994</v>
      </c>
      <c r="I9" s="19">
        <f>H9/C9</f>
        <v>0.69801923928077447</v>
      </c>
      <c r="J9" s="7">
        <f>C9/D9</f>
        <v>9.8919140785333148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5">(C16/$D$13)-1</f>
        <v>3.4482758620688614E-3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5"/>
        <v>-1.379310344827589E-2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5"/>
        <v>5.5172413793103559E-2</v>
      </c>
      <c r="E18" s="9"/>
    </row>
    <row r="19" spans="2:7" x14ac:dyDescent="0.25">
      <c r="B19" s="3" t="s">
        <v>21</v>
      </c>
      <c r="C19" s="21">
        <v>0.64549999999999996</v>
      </c>
      <c r="D19" s="12">
        <f t="shared" si="5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9"/>
  <sheetViews>
    <sheetView showGridLines="0" topLeftCell="A3" workbookViewId="0"/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33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6"/>
      <c r="C3" s="27"/>
      <c r="D3" s="27"/>
      <c r="E3" s="27"/>
      <c r="F3" s="27"/>
      <c r="G3" s="34"/>
      <c r="H3" s="15">
        <v>4.899</v>
      </c>
      <c r="I3" s="16" t="s">
        <v>21</v>
      </c>
      <c r="J3" s="16">
        <v>2018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G5+F5+E5</f>
        <v>1546.6378</v>
      </c>
      <c r="I5" s="20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>D6*$H$3</f>
        <v>1098.3558</v>
      </c>
      <c r="F6" s="20">
        <v>250</v>
      </c>
      <c r="G6" s="20">
        <v>35</v>
      </c>
      <c r="H6" s="20">
        <f t="shared" ref="H6:H8" si="0">G6+F6+E6</f>
        <v>1383.3558</v>
      </c>
      <c r="I6" s="20">
        <f>H6/C6</f>
        <v>0.7094132307692308</v>
      </c>
      <c r="J6" s="5">
        <f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>D7*$H$3</f>
        <v>1210.0530000000001</v>
      </c>
      <c r="F7" s="20">
        <v>180</v>
      </c>
      <c r="G7" s="20">
        <v>56</v>
      </c>
      <c r="H7" s="20">
        <f t="shared" si="0"/>
        <v>1446.0530000000001</v>
      </c>
      <c r="I7" s="20">
        <f>H7/C7</f>
        <v>0.57383055555555562</v>
      </c>
      <c r="J7" s="5">
        <f>C7/D7</f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>D8*$H$3</f>
        <v>575.63250000000005</v>
      </c>
      <c r="F8" s="20">
        <v>95</v>
      </c>
      <c r="G8" s="20">
        <v>0</v>
      </c>
      <c r="H8" s="20">
        <f t="shared" si="0"/>
        <v>670.63250000000005</v>
      </c>
      <c r="I8" s="20">
        <f>H8/C8</f>
        <v>0.47562588652482274</v>
      </c>
      <c r="J8" s="5">
        <f>C8/D8</f>
        <v>12</v>
      </c>
    </row>
    <row r="9" spans="2:13" ht="20.100000000000001" customHeight="1" x14ac:dyDescent="0.25">
      <c r="B9" s="6" t="s">
        <v>16</v>
      </c>
      <c r="C9" s="8">
        <f>SUM(C5:C8)</f>
        <v>7230</v>
      </c>
      <c r="D9" s="23">
        <f t="shared" ref="D9:H9" si="1">SUM(D5:D8)</f>
        <v>730.9</v>
      </c>
      <c r="E9" s="19">
        <f t="shared" si="1"/>
        <v>3580.6791000000003</v>
      </c>
      <c r="F9" s="19">
        <f t="shared" si="1"/>
        <v>1025</v>
      </c>
      <c r="G9" s="19">
        <f t="shared" si="1"/>
        <v>441</v>
      </c>
      <c r="H9" s="19">
        <f t="shared" si="1"/>
        <v>5046.6790999999994</v>
      </c>
      <c r="I9" s="19">
        <f>H9/C9</f>
        <v>0.69801923928077447</v>
      </c>
      <c r="J9" s="7">
        <f>C9/D9</f>
        <v>9.8919140785333148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2">(C16/$D$13)-1</f>
        <v>3.4482758620688614E-3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2"/>
        <v>-1.379310344827589E-2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2"/>
        <v>5.5172413793103559E-2</v>
      </c>
      <c r="E18" s="9"/>
    </row>
    <row r="19" spans="2:7" x14ac:dyDescent="0.25">
      <c r="B19" s="3" t="s">
        <v>21</v>
      </c>
      <c r="C19" s="21">
        <v>0.64549999999999996</v>
      </c>
      <c r="D19" s="12">
        <f t="shared" si="2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Exercício Operações Aritméticas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2018-10-18T17:28:39Z</dcterms:created>
  <dcterms:modified xsi:type="dcterms:W3CDTF">2024-01-31T22:43:59Z</dcterms:modified>
</cp:coreProperties>
</file>