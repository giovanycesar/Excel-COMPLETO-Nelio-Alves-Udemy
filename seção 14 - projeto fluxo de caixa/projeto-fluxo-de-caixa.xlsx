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pivotTables/pivotTable1.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12.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13.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14.xml" ContentType="application/vnd.openxmlformats-officedocument.drawing+xml"/>
  <Override PartName="/xl/slicers/slicer5.xml" ContentType="application/vnd.ms-excel.slicer+xml"/>
  <Override PartName="/xl/drawings/drawing1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hidePivotFieldList="1" defaultThemeVersion="202300"/>
  <mc:AlternateContent xmlns:mc="http://schemas.openxmlformats.org/markup-compatibility/2006">
    <mc:Choice Requires="x15">
      <x15ac:absPath xmlns:x15ac="http://schemas.microsoft.com/office/spreadsheetml/2010/11/ac" url="C:\Users\giova\Desktop\Curso Excel\seção 14 - projeto final\"/>
    </mc:Choice>
  </mc:AlternateContent>
  <xr:revisionPtr revIDLastSave="0" documentId="13_ncr:1_{19A618D3-9541-4281-AFDB-679965706638}" xr6:coauthVersionLast="47" xr6:coauthVersionMax="47" xr10:uidLastSave="{00000000-0000-0000-0000-000000000000}"/>
  <bookViews>
    <workbookView xWindow="-120" yWindow="-120" windowWidth="20730" windowHeight="11160" tabRatio="771" xr2:uid="{81AAEEE0-0504-4662-9EF7-7D924B9AB0DE}"/>
  </bookViews>
  <sheets>
    <sheet name="Início" sheetId="1" r:id="rId1"/>
    <sheet name="Matriz" sheetId="2" state="hidden" r:id="rId2"/>
    <sheet name="PCEntradasN1" sheetId="3" r:id="rId3"/>
    <sheet name="PCEntradasN2" sheetId="4" r:id="rId4"/>
    <sheet name="PCSaídasN1" sheetId="5" r:id="rId5"/>
    <sheet name="PCSaídasN2" sheetId="6" r:id="rId6"/>
    <sheet name="RegistroEntradas" sheetId="7" r:id="rId7"/>
    <sheet name="RegistroSaídas" sheetId="8" r:id="rId8"/>
    <sheet name="FluxoCaixaConsolidado" sheetId="9" r:id="rId9"/>
    <sheet name="DetalhaReceita" sheetId="10" r:id="rId10"/>
    <sheet name="DetalhaDespesa" sheetId="11" r:id="rId11"/>
    <sheet name="ContasPagar" sheetId="12" r:id="rId12"/>
    <sheet name="ContasReceber" sheetId="13" r:id="rId13"/>
    <sheet name="ContasReceberVencidas" sheetId="14" r:id="rId14"/>
    <sheet name="DashBoardFinanceiroAtual" sheetId="15" r:id="rId15"/>
    <sheet name="DashBoardFinanceiroAtualD" sheetId="18" state="hidden" r:id="rId16"/>
    <sheet name="DashBoardFinanceiroAnual" sheetId="16" r:id="rId17"/>
    <sheet name="DashBoardFinanceiroAnualD" sheetId="17" state="hidden" r:id="rId18"/>
  </sheets>
  <externalReferences>
    <externalReference r:id="rId19"/>
  </externalReferences>
  <definedNames>
    <definedName name="PCEntradasN1_Nível_1" localSheetId="15">TbPCEntradasN1[Nível 1]</definedName>
    <definedName name="PCEntradasN1_Nível_1">TbPCEntradasN1[Nível 1]</definedName>
    <definedName name="PCEntradasN2_Nível_1" localSheetId="15">TbPCEntradasN2[Nível 1]</definedName>
    <definedName name="PCEntradasN2_Nível_1">TbPCEntradasN2[Nível 1]</definedName>
    <definedName name="PCEntradasN2_Nível_2" localSheetId="15">TbPCEntradasN2[Nível 2]</definedName>
    <definedName name="PCEntradasN2_Nível_2">TbPCEntradasN2[Nível 2]</definedName>
    <definedName name="PCSaídasN1_Nível_1" localSheetId="15">TbPCSaídasN1[Nível 1]</definedName>
    <definedName name="PCSaídasN1_Nível_1">TbPCSaídasN1[Nível 1]</definedName>
    <definedName name="PCSaídasN2_Nível_1" localSheetId="15">TbPCSaídasN2[Nível 1]</definedName>
    <definedName name="PCSaídasN2_Nível_1">TbPCSaídasN2[Nível 1]</definedName>
    <definedName name="PCSaídasN2_Nível_2" localSheetId="15">TbPCSaídasN2[Nível 2]</definedName>
    <definedName name="PCSaídasN2_Nível_2">TbPCSaídasN2[Nível 2]</definedName>
    <definedName name="Slicer_Ano_Competência">#N/A</definedName>
    <definedName name="Slicer_Ano_Competência1">#N/A</definedName>
    <definedName name="Slicer_Ano_Previsto">#N/A</definedName>
    <definedName name="Slicer_Ano_Previsto1">#N/A</definedName>
    <definedName name="Slicer_Ano_Previsto2">#N/A</definedName>
    <definedName name="Slicer_Mês_Competência">#N/A</definedName>
    <definedName name="Slicer_Mês_Competência1">#N/A</definedName>
    <definedName name="Slicer_Mês_Previsto">#N/A</definedName>
    <definedName name="Slicer_Mês_Previsto1">#N/A</definedName>
  </definedNames>
  <calcPr calcId="191029"/>
  <pivotCaches>
    <pivotCache cacheId="11" r:id="rId20"/>
    <pivotCache cacheId="22"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7" l="1"/>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H7" i="18" s="1"/>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J12" i="18"/>
  <c r="H6" i="18"/>
  <c r="H10" i="18"/>
  <c r="H14" i="18"/>
  <c r="G6" i="18"/>
  <c r="G7" i="18"/>
  <c r="G8" i="18"/>
  <c r="G9" i="18"/>
  <c r="G10" i="18"/>
  <c r="G11" i="18"/>
  <c r="G12" i="18"/>
  <c r="G13" i="18"/>
  <c r="G14" i="18"/>
  <c r="G15" i="18"/>
  <c r="G16" i="18"/>
  <c r="G5" i="18"/>
  <c r="D31" i="18"/>
  <c r="C31" i="18"/>
  <c r="C21" i="18"/>
  <c r="D21" i="18"/>
  <c r="B8" i="15"/>
  <c r="D13" i="18"/>
  <c r="C10" i="18"/>
  <c r="C5" i="18"/>
  <c r="H30" i="18"/>
  <c r="H33" i="18" s="1"/>
  <c r="J4" i="18"/>
  <c r="J6" i="18" s="1"/>
  <c r="C4" i="18"/>
  <c r="C9" i="18"/>
  <c r="H40" i="18" l="1"/>
  <c r="H31" i="18"/>
  <c r="H39" i="18"/>
  <c r="H35" i="18"/>
  <c r="H32" i="18"/>
  <c r="H42" i="18"/>
  <c r="H38" i="18"/>
  <c r="H34" i="18"/>
  <c r="H36" i="18"/>
  <c r="H41" i="18"/>
  <c r="H37" i="18"/>
  <c r="J13" i="18"/>
  <c r="H5" i="18"/>
  <c r="H13" i="18"/>
  <c r="H9" i="18"/>
  <c r="H16" i="18"/>
  <c r="H12" i="18"/>
  <c r="H8" i="18"/>
  <c r="H15" i="18"/>
  <c r="H11" i="18"/>
  <c r="J5" i="18"/>
  <c r="J9" i="18"/>
  <c r="J16" i="18"/>
  <c r="J8" i="18"/>
  <c r="J15" i="18"/>
  <c r="J11" i="18"/>
  <c r="J7" i="18"/>
  <c r="J14" i="18"/>
  <c r="J10" i="18"/>
  <c r="C26" i="18"/>
  <c r="D26" i="18"/>
  <c r="D14" i="18"/>
  <c r="B11" i="15" s="1"/>
  <c r="K16" i="18" l="1"/>
  <c r="B31" i="18"/>
  <c r="L3" i="18"/>
  <c r="K12" i="18" s="1"/>
  <c r="K7" i="18" l="1"/>
  <c r="K8" i="18"/>
  <c r="K13" i="18"/>
  <c r="K10" i="18"/>
  <c r="K6" i="18"/>
  <c r="K11" i="18"/>
  <c r="B21" i="18"/>
  <c r="B26" i="18"/>
  <c r="G26" i="18"/>
  <c r="H29" i="18"/>
  <c r="C8" i="18"/>
  <c r="C11" i="18" s="1"/>
  <c r="B5" i="15" s="1"/>
  <c r="K9" i="18"/>
  <c r="K14" i="18"/>
  <c r="K15" i="18"/>
  <c r="K5" i="18" l="1"/>
  <c r="K8" i="15"/>
  <c r="E31" i="18"/>
  <c r="I14" i="15" s="1"/>
  <c r="H43" i="18" l="1"/>
  <c r="K15" i="15" s="1"/>
  <c r="E21" i="18"/>
  <c r="B16" i="15" s="1"/>
  <c r="H30" i="17" l="1"/>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I26" i="18" l="1"/>
  <c r="H26" i="18"/>
  <c r="J4" i="17"/>
  <c r="N232" i="8"/>
  <c r="M232" i="8"/>
  <c r="L232" i="8"/>
  <c r="K232" i="8"/>
  <c r="J232" i="8"/>
  <c r="I232" i="8"/>
  <c r="N231" i="8"/>
  <c r="M231" i="8"/>
  <c r="L231" i="8"/>
  <c r="K231" i="8"/>
  <c r="J231" i="8"/>
  <c r="I231" i="8"/>
  <c r="N230" i="8"/>
  <c r="M230" i="8"/>
  <c r="L230" i="8"/>
  <c r="K230" i="8"/>
  <c r="J230" i="8"/>
  <c r="I230" i="8"/>
  <c r="N229" i="8"/>
  <c r="M229" i="8"/>
  <c r="L229" i="8"/>
  <c r="K229" i="8"/>
  <c r="J229" i="8"/>
  <c r="I229" i="8"/>
  <c r="N228" i="8"/>
  <c r="M228" i="8"/>
  <c r="L228" i="8"/>
  <c r="K228" i="8"/>
  <c r="J228" i="8"/>
  <c r="I228" i="8"/>
  <c r="N227" i="8"/>
  <c r="M227" i="8"/>
  <c r="L227" i="8"/>
  <c r="K227" i="8"/>
  <c r="J227" i="8"/>
  <c r="I227" i="8"/>
  <c r="N226" i="8"/>
  <c r="M226" i="8"/>
  <c r="L226" i="8"/>
  <c r="K226" i="8"/>
  <c r="J226" i="8"/>
  <c r="I226" i="8"/>
  <c r="N225" i="8"/>
  <c r="M225" i="8"/>
  <c r="L225" i="8"/>
  <c r="K225" i="8"/>
  <c r="J225" i="8"/>
  <c r="I225" i="8"/>
  <c r="N224" i="8"/>
  <c r="M224" i="8"/>
  <c r="L224" i="8"/>
  <c r="K224" i="8"/>
  <c r="J224" i="8"/>
  <c r="I224" i="8"/>
  <c r="N223" i="8"/>
  <c r="M223" i="8"/>
  <c r="L223" i="8"/>
  <c r="K223" i="8"/>
  <c r="J223" i="8"/>
  <c r="I223" i="8"/>
  <c r="N222" i="8"/>
  <c r="M222" i="8"/>
  <c r="L222" i="8"/>
  <c r="K222" i="8"/>
  <c r="J222" i="8"/>
  <c r="I222" i="8"/>
  <c r="N221" i="8"/>
  <c r="M221" i="8"/>
  <c r="L221" i="8"/>
  <c r="K221" i="8"/>
  <c r="J221" i="8"/>
  <c r="I221" i="8"/>
  <c r="N220" i="8"/>
  <c r="M220" i="8"/>
  <c r="L220" i="8"/>
  <c r="K220" i="8"/>
  <c r="J220" i="8"/>
  <c r="I220" i="8"/>
  <c r="N219" i="8"/>
  <c r="M219" i="8"/>
  <c r="L219" i="8"/>
  <c r="K219" i="8"/>
  <c r="J219" i="8"/>
  <c r="I219" i="8"/>
  <c r="N218" i="8"/>
  <c r="M218" i="8"/>
  <c r="L218" i="8"/>
  <c r="K218" i="8"/>
  <c r="J218" i="8"/>
  <c r="I218" i="8"/>
  <c r="N217" i="8"/>
  <c r="M217" i="8"/>
  <c r="L217" i="8"/>
  <c r="K217" i="8"/>
  <c r="J217" i="8"/>
  <c r="I217" i="8"/>
  <c r="N216" i="8"/>
  <c r="M216" i="8"/>
  <c r="L216" i="8"/>
  <c r="K216" i="8"/>
  <c r="J216" i="8"/>
  <c r="I216" i="8"/>
  <c r="N215" i="8"/>
  <c r="M215" i="8"/>
  <c r="L215" i="8"/>
  <c r="K215" i="8"/>
  <c r="J215" i="8"/>
  <c r="I215" i="8"/>
  <c r="N214" i="8"/>
  <c r="M214" i="8"/>
  <c r="L214" i="8"/>
  <c r="K214" i="8"/>
  <c r="J214" i="8"/>
  <c r="I214" i="8"/>
  <c r="N213" i="8"/>
  <c r="M213" i="8"/>
  <c r="L213" i="8"/>
  <c r="K213" i="8"/>
  <c r="J213" i="8"/>
  <c r="I213" i="8"/>
  <c r="N212" i="8"/>
  <c r="M212" i="8"/>
  <c r="L212" i="8"/>
  <c r="K212" i="8"/>
  <c r="J212" i="8"/>
  <c r="I212" i="8"/>
  <c r="N211" i="8"/>
  <c r="M211" i="8"/>
  <c r="L211" i="8"/>
  <c r="K211" i="8"/>
  <c r="J211" i="8"/>
  <c r="I211" i="8"/>
  <c r="N210" i="8"/>
  <c r="M210" i="8"/>
  <c r="L210" i="8"/>
  <c r="K210" i="8"/>
  <c r="J210" i="8"/>
  <c r="I210" i="8"/>
  <c r="N209" i="8"/>
  <c r="M209" i="8"/>
  <c r="L209" i="8"/>
  <c r="K209" i="8"/>
  <c r="J209" i="8"/>
  <c r="I209" i="8"/>
  <c r="N208" i="8"/>
  <c r="M208" i="8"/>
  <c r="L208" i="8"/>
  <c r="K208" i="8"/>
  <c r="J208" i="8"/>
  <c r="I208" i="8"/>
  <c r="N207" i="8"/>
  <c r="M207" i="8"/>
  <c r="L207" i="8"/>
  <c r="K207" i="8"/>
  <c r="J207" i="8"/>
  <c r="I207" i="8"/>
  <c r="N206" i="8"/>
  <c r="M206" i="8"/>
  <c r="L206" i="8"/>
  <c r="K206" i="8"/>
  <c r="J206" i="8"/>
  <c r="I206" i="8"/>
  <c r="N205" i="8"/>
  <c r="M205" i="8"/>
  <c r="L205" i="8"/>
  <c r="K205" i="8"/>
  <c r="J205" i="8"/>
  <c r="I205" i="8"/>
  <c r="N204" i="8"/>
  <c r="M204" i="8"/>
  <c r="L204" i="8"/>
  <c r="K204" i="8"/>
  <c r="J204" i="8"/>
  <c r="I204" i="8"/>
  <c r="N203" i="8"/>
  <c r="M203" i="8"/>
  <c r="L203" i="8"/>
  <c r="K203" i="8"/>
  <c r="J203" i="8"/>
  <c r="I203" i="8"/>
  <c r="N202" i="8"/>
  <c r="M202" i="8"/>
  <c r="L202" i="8"/>
  <c r="K202" i="8"/>
  <c r="J202" i="8"/>
  <c r="I202" i="8"/>
  <c r="N201" i="8"/>
  <c r="M201" i="8"/>
  <c r="L201" i="8"/>
  <c r="K201" i="8"/>
  <c r="J201" i="8"/>
  <c r="I201" i="8"/>
  <c r="N200" i="8"/>
  <c r="M200" i="8"/>
  <c r="L200" i="8"/>
  <c r="K200" i="8"/>
  <c r="J200" i="8"/>
  <c r="I200" i="8"/>
  <c r="N199" i="8"/>
  <c r="M199" i="8"/>
  <c r="L199" i="8"/>
  <c r="K199" i="8"/>
  <c r="J199" i="8"/>
  <c r="I199" i="8"/>
  <c r="N198" i="8"/>
  <c r="M198" i="8"/>
  <c r="L198" i="8"/>
  <c r="K198" i="8"/>
  <c r="J198" i="8"/>
  <c r="I198" i="8"/>
  <c r="N197" i="8"/>
  <c r="M197" i="8"/>
  <c r="L197" i="8"/>
  <c r="K197" i="8"/>
  <c r="J197" i="8"/>
  <c r="I197" i="8"/>
  <c r="N196" i="8"/>
  <c r="M196" i="8"/>
  <c r="L196" i="8"/>
  <c r="K196" i="8"/>
  <c r="J196" i="8"/>
  <c r="I196" i="8"/>
  <c r="N195" i="8"/>
  <c r="M195" i="8"/>
  <c r="L195" i="8"/>
  <c r="K195" i="8"/>
  <c r="J195" i="8"/>
  <c r="I195" i="8"/>
  <c r="N194" i="8"/>
  <c r="M194" i="8"/>
  <c r="L194" i="8"/>
  <c r="K194" i="8"/>
  <c r="J194" i="8"/>
  <c r="I194" i="8"/>
  <c r="N193" i="8"/>
  <c r="M193" i="8"/>
  <c r="L193" i="8"/>
  <c r="K193" i="8"/>
  <c r="J193" i="8"/>
  <c r="I193" i="8"/>
  <c r="N192" i="8"/>
  <c r="M192" i="8"/>
  <c r="L192" i="8"/>
  <c r="K192" i="8"/>
  <c r="J192" i="8"/>
  <c r="I192" i="8"/>
  <c r="N191" i="8"/>
  <c r="M191" i="8"/>
  <c r="L191" i="8"/>
  <c r="K191" i="8"/>
  <c r="J191" i="8"/>
  <c r="I191" i="8"/>
  <c r="N190" i="8"/>
  <c r="M190" i="8"/>
  <c r="L190" i="8"/>
  <c r="K190" i="8"/>
  <c r="J190" i="8"/>
  <c r="I190" i="8"/>
  <c r="N189" i="8"/>
  <c r="M189" i="8"/>
  <c r="L189" i="8"/>
  <c r="K189" i="8"/>
  <c r="J189" i="8"/>
  <c r="I189" i="8"/>
  <c r="N188" i="8"/>
  <c r="M188" i="8"/>
  <c r="L188" i="8"/>
  <c r="K188" i="8"/>
  <c r="J188" i="8"/>
  <c r="I188" i="8"/>
  <c r="N187" i="8"/>
  <c r="M187" i="8"/>
  <c r="L187" i="8"/>
  <c r="K187" i="8"/>
  <c r="J187" i="8"/>
  <c r="I187" i="8"/>
  <c r="N186" i="8"/>
  <c r="M186" i="8"/>
  <c r="L186" i="8"/>
  <c r="K186" i="8"/>
  <c r="J186" i="8"/>
  <c r="I186" i="8"/>
  <c r="N185" i="8"/>
  <c r="M185" i="8"/>
  <c r="L185" i="8"/>
  <c r="K185" i="8"/>
  <c r="J185" i="8"/>
  <c r="I185" i="8"/>
  <c r="N184" i="8"/>
  <c r="M184" i="8"/>
  <c r="L184" i="8"/>
  <c r="K184" i="8"/>
  <c r="J184" i="8"/>
  <c r="I184" i="8"/>
  <c r="N183" i="8"/>
  <c r="M183" i="8"/>
  <c r="L183" i="8"/>
  <c r="K183" i="8"/>
  <c r="J183" i="8"/>
  <c r="I183" i="8"/>
  <c r="N182" i="8"/>
  <c r="M182" i="8"/>
  <c r="L182" i="8"/>
  <c r="K182" i="8"/>
  <c r="J182" i="8"/>
  <c r="I182" i="8"/>
  <c r="N181" i="8"/>
  <c r="M181" i="8"/>
  <c r="L181" i="8"/>
  <c r="K181" i="8"/>
  <c r="J181" i="8"/>
  <c r="I181" i="8"/>
  <c r="N180" i="8"/>
  <c r="M180" i="8"/>
  <c r="L180" i="8"/>
  <c r="K180" i="8"/>
  <c r="J180" i="8"/>
  <c r="I180" i="8"/>
  <c r="N179" i="8"/>
  <c r="M179" i="8"/>
  <c r="L179" i="8"/>
  <c r="K179" i="8"/>
  <c r="J179" i="8"/>
  <c r="I179" i="8"/>
  <c r="N178" i="8"/>
  <c r="M178" i="8"/>
  <c r="L178" i="8"/>
  <c r="K178" i="8"/>
  <c r="J178" i="8"/>
  <c r="I178" i="8"/>
  <c r="N177" i="8"/>
  <c r="M177" i="8"/>
  <c r="L177" i="8"/>
  <c r="K177" i="8"/>
  <c r="J177" i="8"/>
  <c r="I177" i="8"/>
  <c r="N176" i="8"/>
  <c r="M176" i="8"/>
  <c r="L176" i="8"/>
  <c r="K176" i="8"/>
  <c r="J176" i="8"/>
  <c r="I176" i="8"/>
  <c r="N175" i="8"/>
  <c r="M175" i="8"/>
  <c r="L175" i="8"/>
  <c r="K175" i="8"/>
  <c r="J175" i="8"/>
  <c r="I175" i="8"/>
  <c r="N174" i="8"/>
  <c r="M174" i="8"/>
  <c r="L174" i="8"/>
  <c r="K174" i="8"/>
  <c r="J174" i="8"/>
  <c r="I174" i="8"/>
  <c r="N173" i="8"/>
  <c r="M173" i="8"/>
  <c r="L173" i="8"/>
  <c r="K173" i="8"/>
  <c r="J173" i="8"/>
  <c r="I173" i="8"/>
  <c r="N172" i="8"/>
  <c r="M172" i="8"/>
  <c r="L172" i="8"/>
  <c r="K172" i="8"/>
  <c r="J172" i="8"/>
  <c r="I172" i="8"/>
  <c r="N171" i="8"/>
  <c r="M171" i="8"/>
  <c r="L171" i="8"/>
  <c r="K171" i="8"/>
  <c r="J171" i="8"/>
  <c r="I171" i="8"/>
  <c r="N170" i="8"/>
  <c r="M170" i="8"/>
  <c r="L170" i="8"/>
  <c r="K170" i="8"/>
  <c r="J170" i="8"/>
  <c r="I170" i="8"/>
  <c r="N169" i="8"/>
  <c r="M169" i="8"/>
  <c r="L169" i="8"/>
  <c r="K169" i="8"/>
  <c r="J169" i="8"/>
  <c r="I169" i="8"/>
  <c r="N168" i="8"/>
  <c r="M168" i="8"/>
  <c r="L168" i="8"/>
  <c r="K168" i="8"/>
  <c r="J168" i="8"/>
  <c r="I168" i="8"/>
  <c r="N167" i="8"/>
  <c r="M167" i="8"/>
  <c r="L167" i="8"/>
  <c r="K167" i="8"/>
  <c r="J167" i="8"/>
  <c r="I167" i="8"/>
  <c r="N166" i="8"/>
  <c r="M166" i="8"/>
  <c r="L166" i="8"/>
  <c r="K166" i="8"/>
  <c r="J166" i="8"/>
  <c r="I166" i="8"/>
  <c r="N165" i="8"/>
  <c r="M165" i="8"/>
  <c r="L165" i="8"/>
  <c r="K165" i="8"/>
  <c r="J165" i="8"/>
  <c r="I165" i="8"/>
  <c r="N164" i="8"/>
  <c r="M164" i="8"/>
  <c r="L164" i="8"/>
  <c r="K164" i="8"/>
  <c r="J164" i="8"/>
  <c r="I164" i="8"/>
  <c r="N163" i="8"/>
  <c r="M163" i="8"/>
  <c r="L163" i="8"/>
  <c r="K163" i="8"/>
  <c r="J163" i="8"/>
  <c r="I163" i="8"/>
  <c r="N162" i="8"/>
  <c r="M162" i="8"/>
  <c r="L162" i="8"/>
  <c r="K162" i="8"/>
  <c r="J162" i="8"/>
  <c r="I162" i="8"/>
  <c r="N161" i="8"/>
  <c r="M161" i="8"/>
  <c r="L161" i="8"/>
  <c r="K161" i="8"/>
  <c r="J161" i="8"/>
  <c r="I161" i="8"/>
  <c r="N160" i="8"/>
  <c r="M160" i="8"/>
  <c r="L160" i="8"/>
  <c r="K160" i="8"/>
  <c r="J160" i="8"/>
  <c r="I160" i="8"/>
  <c r="N159" i="8"/>
  <c r="M159" i="8"/>
  <c r="L159" i="8"/>
  <c r="K159" i="8"/>
  <c r="J159" i="8"/>
  <c r="I159" i="8"/>
  <c r="N158" i="8"/>
  <c r="M158" i="8"/>
  <c r="L158" i="8"/>
  <c r="K158" i="8"/>
  <c r="J158" i="8"/>
  <c r="I158" i="8"/>
  <c r="N157" i="8"/>
  <c r="M157" i="8"/>
  <c r="L157" i="8"/>
  <c r="K157" i="8"/>
  <c r="J157" i="8"/>
  <c r="I157" i="8"/>
  <c r="N156" i="8"/>
  <c r="M156" i="8"/>
  <c r="L156" i="8"/>
  <c r="K156" i="8"/>
  <c r="J156" i="8"/>
  <c r="I156" i="8"/>
  <c r="N155" i="8"/>
  <c r="M155" i="8"/>
  <c r="L155" i="8"/>
  <c r="K155" i="8"/>
  <c r="J155" i="8"/>
  <c r="I155" i="8"/>
  <c r="N154" i="8"/>
  <c r="M154" i="8"/>
  <c r="L154" i="8"/>
  <c r="K154" i="8"/>
  <c r="J154" i="8"/>
  <c r="I154" i="8"/>
  <c r="N153" i="8"/>
  <c r="M153" i="8"/>
  <c r="L153" i="8"/>
  <c r="K153" i="8"/>
  <c r="J153" i="8"/>
  <c r="I153" i="8"/>
  <c r="N152" i="8"/>
  <c r="M152" i="8"/>
  <c r="L152" i="8"/>
  <c r="K152" i="8"/>
  <c r="J152" i="8"/>
  <c r="I152" i="8"/>
  <c r="N151" i="8"/>
  <c r="M151" i="8"/>
  <c r="L151" i="8"/>
  <c r="K151" i="8"/>
  <c r="J151" i="8"/>
  <c r="I151" i="8"/>
  <c r="N150" i="8"/>
  <c r="M150" i="8"/>
  <c r="L150" i="8"/>
  <c r="K150" i="8"/>
  <c r="J150" i="8"/>
  <c r="I150" i="8"/>
  <c r="N149" i="8"/>
  <c r="M149" i="8"/>
  <c r="L149" i="8"/>
  <c r="K149" i="8"/>
  <c r="J149" i="8"/>
  <c r="I149" i="8"/>
  <c r="N148" i="8"/>
  <c r="M148" i="8"/>
  <c r="L148" i="8"/>
  <c r="K148" i="8"/>
  <c r="J148" i="8"/>
  <c r="I148" i="8"/>
  <c r="N147" i="8"/>
  <c r="M147" i="8"/>
  <c r="L147" i="8"/>
  <c r="K147" i="8"/>
  <c r="J147" i="8"/>
  <c r="I147" i="8"/>
  <c r="N146" i="8"/>
  <c r="M146" i="8"/>
  <c r="L146" i="8"/>
  <c r="K146" i="8"/>
  <c r="J146" i="8"/>
  <c r="I146" i="8"/>
  <c r="N145" i="8"/>
  <c r="M145" i="8"/>
  <c r="L145" i="8"/>
  <c r="K145" i="8"/>
  <c r="J145" i="8"/>
  <c r="I145" i="8"/>
  <c r="N144" i="8"/>
  <c r="M144" i="8"/>
  <c r="L144" i="8"/>
  <c r="K144" i="8"/>
  <c r="J144" i="8"/>
  <c r="I144" i="8"/>
  <c r="N143" i="8"/>
  <c r="M143" i="8"/>
  <c r="L143" i="8"/>
  <c r="K143" i="8"/>
  <c r="J143" i="8"/>
  <c r="I143" i="8"/>
  <c r="N142" i="8"/>
  <c r="M142" i="8"/>
  <c r="L142" i="8"/>
  <c r="K142" i="8"/>
  <c r="J142" i="8"/>
  <c r="I142" i="8"/>
  <c r="N141" i="8"/>
  <c r="M141" i="8"/>
  <c r="L141" i="8"/>
  <c r="K141" i="8"/>
  <c r="J141" i="8"/>
  <c r="I141" i="8"/>
  <c r="N140" i="8"/>
  <c r="M140" i="8"/>
  <c r="L140" i="8"/>
  <c r="K140" i="8"/>
  <c r="J140" i="8"/>
  <c r="I140" i="8"/>
  <c r="N139" i="8"/>
  <c r="M139" i="8"/>
  <c r="L139" i="8"/>
  <c r="K139" i="8"/>
  <c r="J139" i="8"/>
  <c r="I139" i="8"/>
  <c r="N138" i="8"/>
  <c r="M138" i="8"/>
  <c r="L138" i="8"/>
  <c r="K138" i="8"/>
  <c r="J138" i="8"/>
  <c r="I138" i="8"/>
  <c r="N137" i="8"/>
  <c r="M137" i="8"/>
  <c r="L137" i="8"/>
  <c r="K137" i="8"/>
  <c r="J137" i="8"/>
  <c r="I137" i="8"/>
  <c r="N136" i="8"/>
  <c r="M136" i="8"/>
  <c r="L136" i="8"/>
  <c r="K136" i="8"/>
  <c r="J136" i="8"/>
  <c r="I136" i="8"/>
  <c r="N135" i="8"/>
  <c r="M135" i="8"/>
  <c r="L135" i="8"/>
  <c r="K135" i="8"/>
  <c r="J135" i="8"/>
  <c r="I135" i="8"/>
  <c r="N134" i="8"/>
  <c r="M134" i="8"/>
  <c r="L134" i="8"/>
  <c r="K134" i="8"/>
  <c r="J134" i="8"/>
  <c r="I134" i="8"/>
  <c r="N133" i="8"/>
  <c r="M133" i="8"/>
  <c r="L133" i="8"/>
  <c r="K133" i="8"/>
  <c r="J133" i="8"/>
  <c r="I133" i="8"/>
  <c r="N132" i="8"/>
  <c r="M132" i="8"/>
  <c r="L132" i="8"/>
  <c r="K132" i="8"/>
  <c r="J132" i="8"/>
  <c r="I132" i="8"/>
  <c r="N131" i="8"/>
  <c r="M131" i="8"/>
  <c r="L131" i="8"/>
  <c r="K131" i="8"/>
  <c r="J131" i="8"/>
  <c r="I131" i="8"/>
  <c r="N130" i="8"/>
  <c r="M130" i="8"/>
  <c r="L130" i="8"/>
  <c r="K130" i="8"/>
  <c r="J130" i="8"/>
  <c r="I130" i="8"/>
  <c r="N129" i="8"/>
  <c r="M129" i="8"/>
  <c r="L129" i="8"/>
  <c r="K129" i="8"/>
  <c r="J129" i="8"/>
  <c r="I129" i="8"/>
  <c r="N128" i="8"/>
  <c r="M128" i="8"/>
  <c r="L128" i="8"/>
  <c r="K128" i="8"/>
  <c r="J128" i="8"/>
  <c r="I128" i="8"/>
  <c r="N127" i="8"/>
  <c r="M127" i="8"/>
  <c r="L127" i="8"/>
  <c r="K127" i="8"/>
  <c r="J127" i="8"/>
  <c r="I127" i="8"/>
  <c r="N126" i="8"/>
  <c r="M126" i="8"/>
  <c r="L126" i="8"/>
  <c r="K126" i="8"/>
  <c r="J126" i="8"/>
  <c r="I126" i="8"/>
  <c r="N125" i="8"/>
  <c r="M125" i="8"/>
  <c r="L125" i="8"/>
  <c r="K125" i="8"/>
  <c r="J125" i="8"/>
  <c r="I125" i="8"/>
  <c r="N124" i="8"/>
  <c r="M124" i="8"/>
  <c r="L124" i="8"/>
  <c r="K124" i="8"/>
  <c r="J124" i="8"/>
  <c r="I124" i="8"/>
  <c r="N123" i="8"/>
  <c r="M123" i="8"/>
  <c r="L123" i="8"/>
  <c r="K123" i="8"/>
  <c r="J123" i="8"/>
  <c r="I123" i="8"/>
  <c r="N122" i="8"/>
  <c r="M122" i="8"/>
  <c r="L122" i="8"/>
  <c r="K122" i="8"/>
  <c r="J122" i="8"/>
  <c r="I122" i="8"/>
  <c r="N121" i="8"/>
  <c r="M121" i="8"/>
  <c r="L121" i="8"/>
  <c r="K121" i="8"/>
  <c r="J121" i="8"/>
  <c r="I121" i="8"/>
  <c r="N120" i="8"/>
  <c r="M120" i="8"/>
  <c r="L120" i="8"/>
  <c r="K120" i="8"/>
  <c r="J120" i="8"/>
  <c r="I120" i="8"/>
  <c r="N119" i="8"/>
  <c r="M119" i="8"/>
  <c r="L119" i="8"/>
  <c r="K119" i="8"/>
  <c r="J119" i="8"/>
  <c r="I119" i="8"/>
  <c r="N118" i="8"/>
  <c r="M118" i="8"/>
  <c r="L118" i="8"/>
  <c r="K118" i="8"/>
  <c r="J118" i="8"/>
  <c r="I118" i="8"/>
  <c r="N117" i="8"/>
  <c r="M117" i="8"/>
  <c r="L117" i="8"/>
  <c r="K117" i="8"/>
  <c r="J117" i="8"/>
  <c r="I117" i="8"/>
  <c r="N116" i="8"/>
  <c r="M116" i="8"/>
  <c r="L116" i="8"/>
  <c r="K116" i="8"/>
  <c r="J116" i="8"/>
  <c r="I116" i="8"/>
  <c r="N115" i="8"/>
  <c r="M115" i="8"/>
  <c r="L115" i="8"/>
  <c r="K115" i="8"/>
  <c r="J115" i="8"/>
  <c r="I115" i="8"/>
  <c r="N114" i="8"/>
  <c r="M114" i="8"/>
  <c r="L114" i="8"/>
  <c r="K114" i="8"/>
  <c r="J114" i="8"/>
  <c r="I114" i="8"/>
  <c r="N113" i="8"/>
  <c r="M113" i="8"/>
  <c r="L113" i="8"/>
  <c r="K113" i="8"/>
  <c r="J113" i="8"/>
  <c r="I113" i="8"/>
  <c r="N112" i="8"/>
  <c r="M112" i="8"/>
  <c r="L112" i="8"/>
  <c r="K112" i="8"/>
  <c r="J112" i="8"/>
  <c r="I112" i="8"/>
  <c r="N111" i="8"/>
  <c r="M111" i="8"/>
  <c r="L111" i="8"/>
  <c r="K111" i="8"/>
  <c r="J111" i="8"/>
  <c r="I111" i="8"/>
  <c r="N110" i="8"/>
  <c r="M110" i="8"/>
  <c r="L110" i="8"/>
  <c r="K110" i="8"/>
  <c r="J110" i="8"/>
  <c r="I110" i="8"/>
  <c r="N109" i="8"/>
  <c r="M109" i="8"/>
  <c r="L109" i="8"/>
  <c r="K109" i="8"/>
  <c r="J109" i="8"/>
  <c r="I109" i="8"/>
  <c r="N108" i="8"/>
  <c r="M108" i="8"/>
  <c r="L108" i="8"/>
  <c r="K108" i="8"/>
  <c r="J108" i="8"/>
  <c r="I108" i="8"/>
  <c r="N107" i="8"/>
  <c r="M107" i="8"/>
  <c r="L107" i="8"/>
  <c r="K107" i="8"/>
  <c r="J107" i="8"/>
  <c r="I107" i="8"/>
  <c r="N106" i="8"/>
  <c r="M106" i="8"/>
  <c r="L106" i="8"/>
  <c r="K106" i="8"/>
  <c r="J106" i="8"/>
  <c r="I106" i="8"/>
  <c r="N105" i="8"/>
  <c r="M105" i="8"/>
  <c r="L105" i="8"/>
  <c r="K105" i="8"/>
  <c r="J105" i="8"/>
  <c r="I105" i="8"/>
  <c r="N104" i="8"/>
  <c r="M104" i="8"/>
  <c r="L104" i="8"/>
  <c r="K104" i="8"/>
  <c r="J104" i="8"/>
  <c r="I104" i="8"/>
  <c r="N103" i="8"/>
  <c r="M103" i="8"/>
  <c r="L103" i="8"/>
  <c r="K103" i="8"/>
  <c r="J103" i="8"/>
  <c r="I103" i="8"/>
  <c r="N102" i="8"/>
  <c r="M102" i="8"/>
  <c r="L102" i="8"/>
  <c r="K102" i="8"/>
  <c r="J102" i="8"/>
  <c r="I102" i="8"/>
  <c r="N101" i="8"/>
  <c r="M101" i="8"/>
  <c r="L101" i="8"/>
  <c r="K101" i="8"/>
  <c r="J101" i="8"/>
  <c r="I101" i="8"/>
  <c r="N100" i="8"/>
  <c r="M100" i="8"/>
  <c r="L100" i="8"/>
  <c r="K100" i="8"/>
  <c r="J100" i="8"/>
  <c r="I100" i="8"/>
  <c r="N99" i="8"/>
  <c r="M99" i="8"/>
  <c r="L99" i="8"/>
  <c r="K99" i="8"/>
  <c r="J99" i="8"/>
  <c r="I99" i="8"/>
  <c r="N98" i="8"/>
  <c r="M98" i="8"/>
  <c r="L98" i="8"/>
  <c r="K98" i="8"/>
  <c r="J98" i="8"/>
  <c r="I98" i="8"/>
  <c r="N97" i="8"/>
  <c r="M97" i="8"/>
  <c r="L97" i="8"/>
  <c r="K97" i="8"/>
  <c r="J97" i="8"/>
  <c r="I97" i="8"/>
  <c r="N96" i="8"/>
  <c r="M96" i="8"/>
  <c r="L96" i="8"/>
  <c r="K96" i="8"/>
  <c r="J96" i="8"/>
  <c r="I96" i="8"/>
  <c r="N95" i="8"/>
  <c r="M95" i="8"/>
  <c r="L95" i="8"/>
  <c r="K95" i="8"/>
  <c r="J95" i="8"/>
  <c r="I95" i="8"/>
  <c r="N94" i="8"/>
  <c r="M94" i="8"/>
  <c r="L94" i="8"/>
  <c r="K94" i="8"/>
  <c r="J94" i="8"/>
  <c r="I94" i="8"/>
  <c r="N93" i="8"/>
  <c r="M93" i="8"/>
  <c r="L93" i="8"/>
  <c r="K93" i="8"/>
  <c r="J93" i="8"/>
  <c r="I93" i="8"/>
  <c r="N92" i="8"/>
  <c r="M92" i="8"/>
  <c r="L92" i="8"/>
  <c r="K92" i="8"/>
  <c r="J92" i="8"/>
  <c r="I92" i="8"/>
  <c r="N91" i="8"/>
  <c r="M91" i="8"/>
  <c r="L91" i="8"/>
  <c r="K91" i="8"/>
  <c r="J91" i="8"/>
  <c r="I91" i="8"/>
  <c r="N90" i="8"/>
  <c r="M90" i="8"/>
  <c r="L90" i="8"/>
  <c r="K90" i="8"/>
  <c r="J90" i="8"/>
  <c r="I90" i="8"/>
  <c r="N89" i="8"/>
  <c r="M89" i="8"/>
  <c r="L89" i="8"/>
  <c r="K89" i="8"/>
  <c r="J89" i="8"/>
  <c r="I89" i="8"/>
  <c r="N88" i="8"/>
  <c r="M88" i="8"/>
  <c r="L88" i="8"/>
  <c r="K88" i="8"/>
  <c r="J88" i="8"/>
  <c r="I88" i="8"/>
  <c r="N87" i="8"/>
  <c r="M87" i="8"/>
  <c r="L87" i="8"/>
  <c r="K87" i="8"/>
  <c r="J87" i="8"/>
  <c r="I87" i="8"/>
  <c r="N86" i="8"/>
  <c r="M86" i="8"/>
  <c r="L86" i="8"/>
  <c r="K86" i="8"/>
  <c r="J86" i="8"/>
  <c r="I86" i="8"/>
  <c r="N85" i="8"/>
  <c r="M85" i="8"/>
  <c r="L85" i="8"/>
  <c r="K85" i="8"/>
  <c r="J85" i="8"/>
  <c r="I85" i="8"/>
  <c r="N84" i="8"/>
  <c r="M84" i="8"/>
  <c r="L84" i="8"/>
  <c r="K84" i="8"/>
  <c r="J84" i="8"/>
  <c r="I84" i="8"/>
  <c r="N83" i="8"/>
  <c r="M83" i="8"/>
  <c r="L83" i="8"/>
  <c r="K83" i="8"/>
  <c r="J83" i="8"/>
  <c r="I83" i="8"/>
  <c r="N82" i="8"/>
  <c r="M82" i="8"/>
  <c r="L82" i="8"/>
  <c r="K82" i="8"/>
  <c r="J82" i="8"/>
  <c r="I82" i="8"/>
  <c r="N81" i="8"/>
  <c r="M81" i="8"/>
  <c r="L81" i="8"/>
  <c r="K81" i="8"/>
  <c r="J81" i="8"/>
  <c r="I81" i="8"/>
  <c r="N80" i="8"/>
  <c r="M80" i="8"/>
  <c r="L80" i="8"/>
  <c r="K80" i="8"/>
  <c r="J80" i="8"/>
  <c r="I80" i="8"/>
  <c r="N79" i="8"/>
  <c r="M79" i="8"/>
  <c r="L79" i="8"/>
  <c r="K79" i="8"/>
  <c r="J79" i="8"/>
  <c r="I79" i="8"/>
  <c r="N78" i="8"/>
  <c r="M78" i="8"/>
  <c r="L78" i="8"/>
  <c r="K78" i="8"/>
  <c r="J78" i="8"/>
  <c r="I78" i="8"/>
  <c r="N77" i="8"/>
  <c r="M77" i="8"/>
  <c r="L77" i="8"/>
  <c r="K77" i="8"/>
  <c r="J77" i="8"/>
  <c r="I77" i="8"/>
  <c r="N76" i="8"/>
  <c r="M76" i="8"/>
  <c r="L76" i="8"/>
  <c r="K76" i="8"/>
  <c r="J76" i="8"/>
  <c r="I76" i="8"/>
  <c r="N75" i="8"/>
  <c r="M75" i="8"/>
  <c r="L75" i="8"/>
  <c r="K75" i="8"/>
  <c r="J75" i="8"/>
  <c r="I75" i="8"/>
  <c r="N74" i="8"/>
  <c r="M74" i="8"/>
  <c r="L74" i="8"/>
  <c r="K74" i="8"/>
  <c r="J74" i="8"/>
  <c r="I74" i="8"/>
  <c r="N73" i="8"/>
  <c r="M73" i="8"/>
  <c r="L73" i="8"/>
  <c r="K73" i="8"/>
  <c r="J73" i="8"/>
  <c r="I73" i="8"/>
  <c r="N72" i="8"/>
  <c r="M72" i="8"/>
  <c r="L72" i="8"/>
  <c r="K72" i="8"/>
  <c r="J72" i="8"/>
  <c r="I72" i="8"/>
  <c r="N71" i="8"/>
  <c r="M71" i="8"/>
  <c r="L71" i="8"/>
  <c r="K71" i="8"/>
  <c r="J71" i="8"/>
  <c r="I71" i="8"/>
  <c r="N70" i="8"/>
  <c r="M70" i="8"/>
  <c r="L70" i="8"/>
  <c r="K70" i="8"/>
  <c r="J70" i="8"/>
  <c r="I70" i="8"/>
  <c r="N69" i="8"/>
  <c r="M69" i="8"/>
  <c r="L69" i="8"/>
  <c r="K69" i="8"/>
  <c r="J69" i="8"/>
  <c r="I69" i="8"/>
  <c r="N68" i="8"/>
  <c r="M68" i="8"/>
  <c r="L68" i="8"/>
  <c r="K68" i="8"/>
  <c r="J68" i="8"/>
  <c r="I68" i="8"/>
  <c r="N67" i="8"/>
  <c r="M67" i="8"/>
  <c r="L67" i="8"/>
  <c r="K67" i="8"/>
  <c r="J67" i="8"/>
  <c r="I67" i="8"/>
  <c r="N66" i="8"/>
  <c r="M66" i="8"/>
  <c r="L66" i="8"/>
  <c r="K66" i="8"/>
  <c r="J66" i="8"/>
  <c r="I66" i="8"/>
  <c r="N65" i="8"/>
  <c r="M65" i="8"/>
  <c r="L65" i="8"/>
  <c r="K65" i="8"/>
  <c r="J65" i="8"/>
  <c r="I65" i="8"/>
  <c r="N64" i="8"/>
  <c r="M64" i="8"/>
  <c r="L64" i="8"/>
  <c r="K64" i="8"/>
  <c r="J64" i="8"/>
  <c r="I64" i="8"/>
  <c r="N63" i="8"/>
  <c r="M63" i="8"/>
  <c r="L63" i="8"/>
  <c r="K63" i="8"/>
  <c r="J63" i="8"/>
  <c r="I63" i="8"/>
  <c r="N62" i="8"/>
  <c r="M62" i="8"/>
  <c r="L62" i="8"/>
  <c r="K62" i="8"/>
  <c r="J62" i="8"/>
  <c r="I62" i="8"/>
  <c r="N61" i="8"/>
  <c r="M61" i="8"/>
  <c r="L61" i="8"/>
  <c r="K61" i="8"/>
  <c r="J61" i="8"/>
  <c r="I61" i="8"/>
  <c r="N60" i="8"/>
  <c r="M60" i="8"/>
  <c r="L60" i="8"/>
  <c r="K60" i="8"/>
  <c r="J60" i="8"/>
  <c r="I60" i="8"/>
  <c r="N59" i="8"/>
  <c r="M59" i="8"/>
  <c r="L59" i="8"/>
  <c r="K59" i="8"/>
  <c r="J59" i="8"/>
  <c r="I59" i="8"/>
  <c r="N58" i="8"/>
  <c r="M58" i="8"/>
  <c r="L58" i="8"/>
  <c r="K58" i="8"/>
  <c r="J58" i="8"/>
  <c r="I58" i="8"/>
  <c r="N57" i="8"/>
  <c r="M57" i="8"/>
  <c r="L57" i="8"/>
  <c r="K57" i="8"/>
  <c r="J57" i="8"/>
  <c r="I57" i="8"/>
  <c r="N56" i="8"/>
  <c r="M56" i="8"/>
  <c r="L56" i="8"/>
  <c r="K56" i="8"/>
  <c r="J56" i="8"/>
  <c r="I56" i="8"/>
  <c r="N55" i="8"/>
  <c r="M55" i="8"/>
  <c r="L55" i="8"/>
  <c r="K55" i="8"/>
  <c r="J55" i="8"/>
  <c r="I55" i="8"/>
  <c r="N54" i="8"/>
  <c r="M54" i="8"/>
  <c r="L54" i="8"/>
  <c r="K54" i="8"/>
  <c r="J54" i="8"/>
  <c r="I54" i="8"/>
  <c r="N53" i="8"/>
  <c r="M53" i="8"/>
  <c r="L53" i="8"/>
  <c r="K53" i="8"/>
  <c r="J53" i="8"/>
  <c r="I53" i="8"/>
  <c r="N52" i="8"/>
  <c r="M52" i="8"/>
  <c r="L52" i="8"/>
  <c r="K52" i="8"/>
  <c r="J52" i="8"/>
  <c r="I52" i="8"/>
  <c r="N51" i="8"/>
  <c r="M51" i="8"/>
  <c r="L51" i="8"/>
  <c r="K51" i="8"/>
  <c r="J51" i="8"/>
  <c r="I51" i="8"/>
  <c r="N50" i="8"/>
  <c r="M50" i="8"/>
  <c r="L50" i="8"/>
  <c r="K50" i="8"/>
  <c r="J50" i="8"/>
  <c r="I50" i="8"/>
  <c r="N49" i="8"/>
  <c r="M49" i="8"/>
  <c r="L49" i="8"/>
  <c r="K49" i="8"/>
  <c r="J49" i="8"/>
  <c r="I49" i="8"/>
  <c r="N48" i="8"/>
  <c r="M48" i="8"/>
  <c r="L48" i="8"/>
  <c r="K48" i="8"/>
  <c r="J48" i="8"/>
  <c r="I48" i="8"/>
  <c r="N47" i="8"/>
  <c r="M47" i="8"/>
  <c r="L47" i="8"/>
  <c r="K47" i="8"/>
  <c r="J47" i="8"/>
  <c r="I47" i="8"/>
  <c r="N46" i="8"/>
  <c r="M46" i="8"/>
  <c r="L46" i="8"/>
  <c r="K46" i="8"/>
  <c r="J46" i="8"/>
  <c r="I46" i="8"/>
  <c r="N45" i="8"/>
  <c r="M45" i="8"/>
  <c r="L45" i="8"/>
  <c r="K45" i="8"/>
  <c r="J45" i="8"/>
  <c r="I45" i="8"/>
  <c r="N44" i="8"/>
  <c r="M44" i="8"/>
  <c r="L44" i="8"/>
  <c r="K44" i="8"/>
  <c r="J44" i="8"/>
  <c r="I44" i="8"/>
  <c r="N43" i="8"/>
  <c r="M43" i="8"/>
  <c r="L43" i="8"/>
  <c r="K43" i="8"/>
  <c r="J43" i="8"/>
  <c r="I43" i="8"/>
  <c r="N42" i="8"/>
  <c r="M42" i="8"/>
  <c r="L42" i="8"/>
  <c r="K42" i="8"/>
  <c r="J42" i="8"/>
  <c r="I42" i="8"/>
  <c r="N41" i="8"/>
  <c r="M41" i="8"/>
  <c r="L41" i="8"/>
  <c r="K41" i="8"/>
  <c r="J41" i="8"/>
  <c r="I41" i="8"/>
  <c r="N40" i="8"/>
  <c r="M40" i="8"/>
  <c r="L40" i="8"/>
  <c r="K40" i="8"/>
  <c r="J40" i="8"/>
  <c r="I40" i="8"/>
  <c r="N39" i="8"/>
  <c r="M39" i="8"/>
  <c r="L39" i="8"/>
  <c r="K39" i="8"/>
  <c r="J39" i="8"/>
  <c r="I39" i="8"/>
  <c r="N38" i="8"/>
  <c r="M38" i="8"/>
  <c r="L38" i="8"/>
  <c r="K38" i="8"/>
  <c r="J38" i="8"/>
  <c r="I38" i="8"/>
  <c r="N37" i="8"/>
  <c r="M37" i="8"/>
  <c r="L37" i="8"/>
  <c r="K37" i="8"/>
  <c r="J37" i="8"/>
  <c r="I37" i="8"/>
  <c r="N36" i="8"/>
  <c r="M36" i="8"/>
  <c r="L36" i="8"/>
  <c r="K36" i="8"/>
  <c r="J36" i="8"/>
  <c r="I36" i="8"/>
  <c r="N35" i="8"/>
  <c r="M35" i="8"/>
  <c r="L35" i="8"/>
  <c r="K35" i="8"/>
  <c r="J35" i="8"/>
  <c r="I35" i="8"/>
  <c r="N34" i="8"/>
  <c r="M34" i="8"/>
  <c r="L34" i="8"/>
  <c r="K34" i="8"/>
  <c r="J34" i="8"/>
  <c r="I34" i="8"/>
  <c r="N33" i="8"/>
  <c r="M33" i="8"/>
  <c r="L33" i="8"/>
  <c r="K33" i="8"/>
  <c r="J33" i="8"/>
  <c r="I33" i="8"/>
  <c r="N32" i="8"/>
  <c r="M32" i="8"/>
  <c r="L32" i="8"/>
  <c r="K32" i="8"/>
  <c r="J32" i="8"/>
  <c r="I32" i="8"/>
  <c r="N31" i="8"/>
  <c r="M31" i="8"/>
  <c r="L31" i="8"/>
  <c r="K31" i="8"/>
  <c r="J31" i="8"/>
  <c r="I31" i="8"/>
  <c r="N30" i="8"/>
  <c r="M30" i="8"/>
  <c r="L30" i="8"/>
  <c r="K30" i="8"/>
  <c r="J30" i="8"/>
  <c r="I30" i="8"/>
  <c r="N29" i="8"/>
  <c r="M29" i="8"/>
  <c r="L29" i="8"/>
  <c r="K29" i="8"/>
  <c r="J29" i="8"/>
  <c r="I29" i="8"/>
  <c r="N28" i="8"/>
  <c r="M28" i="8"/>
  <c r="L28" i="8"/>
  <c r="K28" i="8"/>
  <c r="J28" i="8"/>
  <c r="I28" i="8"/>
  <c r="N27" i="8"/>
  <c r="M27" i="8"/>
  <c r="L27" i="8"/>
  <c r="K27" i="8"/>
  <c r="J27" i="8"/>
  <c r="I27" i="8"/>
  <c r="N26" i="8"/>
  <c r="M26" i="8"/>
  <c r="L26" i="8"/>
  <c r="K26" i="8"/>
  <c r="J26" i="8"/>
  <c r="I26" i="8"/>
  <c r="N25" i="8"/>
  <c r="M25" i="8"/>
  <c r="L25" i="8"/>
  <c r="K25" i="8"/>
  <c r="J25" i="8"/>
  <c r="I25" i="8"/>
  <c r="N24" i="8"/>
  <c r="M24" i="8"/>
  <c r="L24" i="8"/>
  <c r="K24" i="8"/>
  <c r="J24" i="8"/>
  <c r="I24" i="8"/>
  <c r="N23" i="8"/>
  <c r="M23" i="8"/>
  <c r="L23" i="8"/>
  <c r="K23" i="8"/>
  <c r="J23" i="8"/>
  <c r="I23" i="8"/>
  <c r="N22" i="8"/>
  <c r="M22" i="8"/>
  <c r="L22" i="8"/>
  <c r="K22" i="8"/>
  <c r="J22" i="8"/>
  <c r="I22" i="8"/>
  <c r="N21" i="8"/>
  <c r="M21" i="8"/>
  <c r="L21" i="8"/>
  <c r="K21" i="8"/>
  <c r="J21" i="8"/>
  <c r="I21" i="8"/>
  <c r="N20" i="8"/>
  <c r="M20" i="8"/>
  <c r="L20" i="8"/>
  <c r="K20" i="8"/>
  <c r="J20" i="8"/>
  <c r="I20" i="8"/>
  <c r="N19" i="8"/>
  <c r="M19" i="8"/>
  <c r="L19" i="8"/>
  <c r="K19" i="8"/>
  <c r="J19" i="8"/>
  <c r="I19" i="8"/>
  <c r="N18" i="8"/>
  <c r="M18" i="8"/>
  <c r="L18" i="8"/>
  <c r="K18" i="8"/>
  <c r="J18" i="8"/>
  <c r="I18" i="8"/>
  <c r="N17" i="8"/>
  <c r="M17" i="8"/>
  <c r="L17" i="8"/>
  <c r="K17" i="8"/>
  <c r="J17" i="8"/>
  <c r="I17" i="8"/>
  <c r="N16" i="8"/>
  <c r="M16" i="8"/>
  <c r="L16" i="8"/>
  <c r="K16" i="8"/>
  <c r="J16" i="8"/>
  <c r="I16" i="8"/>
  <c r="N15" i="8"/>
  <c r="M15" i="8"/>
  <c r="L15" i="8"/>
  <c r="K15" i="8"/>
  <c r="J15" i="8"/>
  <c r="I15" i="8"/>
  <c r="N14" i="8"/>
  <c r="M14" i="8"/>
  <c r="L14" i="8"/>
  <c r="K14" i="8"/>
  <c r="J14" i="8"/>
  <c r="I14" i="8"/>
  <c r="N13" i="8"/>
  <c r="M13" i="8"/>
  <c r="L13" i="8"/>
  <c r="K13" i="8"/>
  <c r="J13" i="8"/>
  <c r="I13" i="8"/>
  <c r="N12" i="8"/>
  <c r="M12" i="8"/>
  <c r="L12" i="8"/>
  <c r="K12" i="8"/>
  <c r="J12" i="8"/>
  <c r="I12" i="8"/>
  <c r="N11" i="8"/>
  <c r="M11" i="8"/>
  <c r="L11" i="8"/>
  <c r="K11" i="8"/>
  <c r="J11" i="8"/>
  <c r="I11" i="8"/>
  <c r="N10" i="8"/>
  <c r="M10" i="8"/>
  <c r="L10" i="8"/>
  <c r="K10" i="8"/>
  <c r="J10" i="8"/>
  <c r="I10" i="8"/>
  <c r="N9" i="8"/>
  <c r="M9" i="8"/>
  <c r="L9" i="8"/>
  <c r="K9" i="8"/>
  <c r="J9" i="8"/>
  <c r="I9" i="8"/>
  <c r="N8" i="8"/>
  <c r="M8" i="8"/>
  <c r="L8" i="8"/>
  <c r="K8" i="8"/>
  <c r="J8" i="8"/>
  <c r="I8" i="8"/>
  <c r="N7" i="8"/>
  <c r="M7" i="8"/>
  <c r="L7" i="8"/>
  <c r="K7" i="8"/>
  <c r="J7" i="8"/>
  <c r="I7" i="8"/>
  <c r="N6" i="8"/>
  <c r="M6" i="8"/>
  <c r="L6" i="8"/>
  <c r="K6" i="8"/>
  <c r="J6" i="8"/>
  <c r="I6" i="8"/>
  <c r="N5" i="8"/>
  <c r="M5" i="8"/>
  <c r="L5" i="8"/>
  <c r="K5" i="8"/>
  <c r="J5" i="8"/>
  <c r="I5" i="8"/>
  <c r="N4" i="8"/>
  <c r="M4" i="8"/>
  <c r="L4" i="8"/>
  <c r="K4" i="8"/>
  <c r="J4" i="8"/>
  <c r="I4" i="8"/>
  <c r="C8" i="9"/>
  <c r="J26" i="18" l="1"/>
  <c r="G16" i="15" s="1"/>
  <c r="E26" i="18"/>
  <c r="F16" i="15" s="1"/>
  <c r="C4" i="17"/>
  <c r="O2" i="14"/>
  <c r="H29" i="17" l="1"/>
  <c r="B31" i="17"/>
  <c r="G26" i="17"/>
  <c r="H6" i="17"/>
  <c r="H10" i="17"/>
  <c r="H14" i="17"/>
  <c r="G7" i="17"/>
  <c r="G10" i="17"/>
  <c r="G14" i="17"/>
  <c r="B26" i="17"/>
  <c r="B21" i="17"/>
  <c r="H7" i="17"/>
  <c r="H11" i="17"/>
  <c r="H15" i="17"/>
  <c r="G6" i="17"/>
  <c r="G11" i="17"/>
  <c r="G15" i="17"/>
  <c r="H9" i="17"/>
  <c r="G9" i="17"/>
  <c r="G5" i="17"/>
  <c r="H8" i="17"/>
  <c r="H12" i="17"/>
  <c r="H16" i="17"/>
  <c r="G8" i="17"/>
  <c r="G12" i="17"/>
  <c r="G16" i="17"/>
  <c r="L3" i="17"/>
  <c r="H13" i="17"/>
  <c r="H5" i="17"/>
  <c r="G13" i="17"/>
  <c r="C10" i="17"/>
  <c r="D13" i="17"/>
  <c r="B8" i="16" s="1"/>
  <c r="D14" i="17"/>
  <c r="B11" i="16" s="1"/>
  <c r="C8" i="17"/>
  <c r="C9" i="17"/>
  <c r="H16" i="9"/>
  <c r="H22" i="9" s="1"/>
  <c r="J16" i="9"/>
  <c r="J22" i="9" s="1"/>
  <c r="K16" i="9"/>
  <c r="K22" i="9" s="1"/>
  <c r="L16" i="9"/>
  <c r="L22" i="9" s="1"/>
  <c r="E16" i="9"/>
  <c r="E22" i="9" s="1"/>
  <c r="I16" i="9"/>
  <c r="I22" i="9" s="1"/>
  <c r="M16" i="9"/>
  <c r="M22" i="9" s="1"/>
  <c r="D16" i="9"/>
  <c r="D22" i="9" s="1"/>
  <c r="F16" i="9"/>
  <c r="F22" i="9" s="1"/>
  <c r="N16" i="9"/>
  <c r="N22" i="9" s="1"/>
  <c r="C16" i="9"/>
  <c r="C22" i="9" s="1"/>
  <c r="G16" i="9"/>
  <c r="G22" i="9" s="1"/>
  <c r="C15" i="9"/>
  <c r="K17" i="9"/>
  <c r="K23" i="9" s="1"/>
  <c r="N17" i="9"/>
  <c r="N23" i="9" s="1"/>
  <c r="D17" i="9"/>
  <c r="D23" i="9" s="1"/>
  <c r="H17" i="9"/>
  <c r="H23" i="9" s="1"/>
  <c r="H24" i="9" s="1"/>
  <c r="L17" i="9"/>
  <c r="L23" i="9" s="1"/>
  <c r="G17" i="9"/>
  <c r="G23" i="9" s="1"/>
  <c r="D10" i="9"/>
  <c r="E17" i="9"/>
  <c r="E23" i="9" s="1"/>
  <c r="I17" i="9"/>
  <c r="I23" i="9" s="1"/>
  <c r="I24" i="9" s="1"/>
  <c r="M17" i="9"/>
  <c r="M23" i="9" s="1"/>
  <c r="L10" i="9"/>
  <c r="C17" i="9"/>
  <c r="C23" i="9" s="1"/>
  <c r="F17" i="9"/>
  <c r="F23" i="9" s="1"/>
  <c r="J17" i="9"/>
  <c r="J23" i="9" s="1"/>
  <c r="J24" i="9" s="1"/>
  <c r="H10" i="9"/>
  <c r="M10" i="9"/>
  <c r="F10" i="9"/>
  <c r="J10" i="9"/>
  <c r="N10" i="9"/>
  <c r="E10" i="9"/>
  <c r="I10" i="9"/>
  <c r="C10" i="9"/>
  <c r="G10" i="9"/>
  <c r="K10" i="9"/>
  <c r="M9" i="9"/>
  <c r="F9" i="9"/>
  <c r="J9" i="9"/>
  <c r="N9" i="9"/>
  <c r="G9" i="9"/>
  <c r="K9" i="9"/>
  <c r="C9" i="9"/>
  <c r="D9" i="9"/>
  <c r="H9" i="9"/>
  <c r="L9" i="9"/>
  <c r="E9" i="9"/>
  <c r="I9" i="9"/>
  <c r="J9" i="17" l="1"/>
  <c r="K9" i="17" s="1"/>
  <c r="J16" i="17"/>
  <c r="K16" i="17" s="1"/>
  <c r="J7" i="17"/>
  <c r="K7" i="17" s="1"/>
  <c r="J5" i="17"/>
  <c r="J12" i="17"/>
  <c r="K12" i="17" s="1"/>
  <c r="J8" i="17"/>
  <c r="K8" i="17" s="1"/>
  <c r="J14" i="17"/>
  <c r="K14" i="17" s="1"/>
  <c r="J13" i="17"/>
  <c r="K13" i="17" s="1"/>
  <c r="J11" i="17"/>
  <c r="K11" i="17" s="1"/>
  <c r="J10" i="17"/>
  <c r="K10" i="17" s="1"/>
  <c r="J6" i="17"/>
  <c r="K6" i="17" s="1"/>
  <c r="J15" i="17"/>
  <c r="K15" i="17" s="1"/>
  <c r="D21" i="17"/>
  <c r="C21" i="17"/>
  <c r="H26" i="17"/>
  <c r="D26" i="17"/>
  <c r="I26" i="17"/>
  <c r="C26" i="17"/>
  <c r="D31" i="17"/>
  <c r="C31" i="17"/>
  <c r="H32" i="17"/>
  <c r="H34" i="17"/>
  <c r="H38" i="17"/>
  <c r="H39" i="17"/>
  <c r="H41" i="17"/>
  <c r="H31" i="17"/>
  <c r="H33" i="17"/>
  <c r="H35" i="17"/>
  <c r="H37" i="17"/>
  <c r="H40" i="17"/>
  <c r="H42" i="17"/>
  <c r="H36" i="17"/>
  <c r="C11" i="17"/>
  <c r="B5" i="16" s="1"/>
  <c r="N24" i="9"/>
  <c r="D24" i="9"/>
  <c r="M25" i="9"/>
  <c r="D25" i="9"/>
  <c r="G25" i="9"/>
  <c r="C25" i="9"/>
  <c r="L25" i="9"/>
  <c r="K24" i="9"/>
  <c r="F25" i="9"/>
  <c r="N25" i="9"/>
  <c r="K25" i="9"/>
  <c r="H25" i="9"/>
  <c r="I25" i="9"/>
  <c r="E24" i="9"/>
  <c r="C26" i="9"/>
  <c r="D26" i="9" s="1"/>
  <c r="E26" i="9" s="1"/>
  <c r="F26" i="9" s="1"/>
  <c r="G26" i="9" s="1"/>
  <c r="H26" i="9" s="1"/>
  <c r="I26" i="9" s="1"/>
  <c r="J26" i="9" s="1"/>
  <c r="K26" i="9" s="1"/>
  <c r="L26" i="9" s="1"/>
  <c r="M26" i="9" s="1"/>
  <c r="N26" i="9" s="1"/>
  <c r="G24" i="9"/>
  <c r="J25" i="9"/>
  <c r="M24" i="9"/>
  <c r="L24" i="9"/>
  <c r="F24" i="9"/>
  <c r="E25" i="9"/>
  <c r="C24" i="9"/>
  <c r="C18" i="9"/>
  <c r="D15" i="9" s="1"/>
  <c r="D18" i="9" s="1"/>
  <c r="E15" i="9" s="1"/>
  <c r="E18" i="9" s="1"/>
  <c r="F15" i="9" s="1"/>
  <c r="F18" i="9" s="1"/>
  <c r="G15" i="9" s="1"/>
  <c r="G18" i="9" s="1"/>
  <c r="H15" i="9" s="1"/>
  <c r="H18" i="9" s="1"/>
  <c r="I15" i="9" s="1"/>
  <c r="I18" i="9" s="1"/>
  <c r="J15" i="9" s="1"/>
  <c r="J18" i="9" s="1"/>
  <c r="K15" i="9" s="1"/>
  <c r="K18" i="9" s="1"/>
  <c r="L15" i="9" s="1"/>
  <c r="L18" i="9" s="1"/>
  <c r="M15" i="9" s="1"/>
  <c r="M18" i="9" s="1"/>
  <c r="N15" i="9" s="1"/>
  <c r="N18" i="9" s="1"/>
  <c r="C11" i="9"/>
  <c r="D8" i="9" s="1"/>
  <c r="D11" i="9" s="1"/>
  <c r="E8" i="9" s="1"/>
  <c r="E11" i="9" s="1"/>
  <c r="F8" i="9" s="1"/>
  <c r="F11" i="9" s="1"/>
  <c r="G8" i="9" s="1"/>
  <c r="G11" i="9" s="1"/>
  <c r="H8" i="9" s="1"/>
  <c r="H11" i="9" s="1"/>
  <c r="I8" i="9" s="1"/>
  <c r="I11" i="9" s="1"/>
  <c r="J8" i="9" s="1"/>
  <c r="J11" i="9" s="1"/>
  <c r="K8" i="9" s="1"/>
  <c r="K11" i="9" s="1"/>
  <c r="L8" i="9" s="1"/>
  <c r="L11" i="9" s="1"/>
  <c r="M8" i="9" s="1"/>
  <c r="M11" i="9" s="1"/>
  <c r="N8" i="9" s="1"/>
  <c r="N11" i="9" s="1"/>
  <c r="E21" i="17" l="1"/>
  <c r="E31" i="17"/>
  <c r="E26" i="17"/>
  <c r="K5" i="17"/>
  <c r="K8" i="16"/>
  <c r="H43" i="17"/>
  <c r="K15" i="16" s="1"/>
  <c r="J26" i="17"/>
  <c r="I14" i="16" l="1"/>
  <c r="B16" i="16"/>
  <c r="G16" i="16"/>
  <c r="F16" i="16"/>
</calcChain>
</file>

<file path=xl/sharedStrings.xml><?xml version="1.0" encoding="utf-8"?>
<sst xmlns="http://schemas.openxmlformats.org/spreadsheetml/2006/main" count="1822" uniqueCount="608">
  <si>
    <t>Educaçãoweb</t>
  </si>
  <si>
    <t>FLUXO DE CAIXA EMPRESARIAL</t>
  </si>
  <si>
    <t>Empresa</t>
  </si>
  <si>
    <t>LOJAS EDUCANDOWEB LTDA.</t>
  </si>
  <si>
    <t>Responsável</t>
  </si>
  <si>
    <t>Victor Von Doom</t>
  </si>
  <si>
    <t>TÍTULO</t>
  </si>
  <si>
    <t xml:space="preserve">FLUXO DE CAIXA E RESULTADO MENSAL
REGIME DE CAIXA E DE COMPETÊNCIA
</t>
  </si>
  <si>
    <t>PLANO DE CONTAS DE ENTRADA - Nível 1</t>
  </si>
  <si>
    <t>PLANO DE CONTAS DE ENTRADA - Nível 2</t>
  </si>
  <si>
    <t>PLANO DE CONTAS DE SAÍDA - Nível 1</t>
  </si>
  <si>
    <t>PLANO DE CONTAS DE SAÍDA - Nível 2</t>
  </si>
  <si>
    <t>REGISTRO DAS ENTRADAS DE CAIXA</t>
  </si>
  <si>
    <t>REGISTRO DAS SAÍDAS DE CAIXA</t>
  </si>
  <si>
    <t>DETALHAMENTO DE RECEITA</t>
  </si>
  <si>
    <t>DETALHAMENTO DE DESPESA</t>
  </si>
  <si>
    <t>CONTAS A PAGAR</t>
  </si>
  <si>
    <t>CONTAS A RECEBER</t>
  </si>
  <si>
    <t>CONTAS E RECEBER VENCIDAS</t>
  </si>
  <si>
    <t>PLANO DE CONTAS DE ENTRADA NÍVEL 1</t>
  </si>
  <si>
    <t>Nível 1</t>
  </si>
  <si>
    <t>Empréstimos de curto prazo</t>
  </si>
  <si>
    <t>Receitas Financeiras</t>
  </si>
  <si>
    <t>Venda de ativos</t>
  </si>
  <si>
    <t>Vendas de mercadorias</t>
  </si>
  <si>
    <t>Financiamentos de longo prazo</t>
  </si>
  <si>
    <t>PLANO DE CONTAS DE ENTRADA NÍVEL 2</t>
  </si>
  <si>
    <t>Nível 2</t>
  </si>
  <si>
    <t>Empréstimos capital de giro</t>
  </si>
  <si>
    <t>Juros sobre aplicações</t>
  </si>
  <si>
    <t>Mobiliário próprio</t>
  </si>
  <si>
    <t>Eletrodomésticos</t>
  </si>
  <si>
    <t>Informática</t>
  </si>
  <si>
    <t>Livros</t>
  </si>
  <si>
    <t>Móveis</t>
  </si>
  <si>
    <t>Som e imagem</t>
  </si>
  <si>
    <t>Compra de mercadorias</t>
  </si>
  <si>
    <t>Despesas administrativas</t>
  </si>
  <si>
    <t>Despesas comerciais</t>
  </si>
  <si>
    <t>Despesas financeiras</t>
  </si>
  <si>
    <t>Imposto de renda</t>
  </si>
  <si>
    <t>Impostos sobre as vendas</t>
  </si>
  <si>
    <t>PLANO DE CONTAS DE SAÍDA NÍVEL 1</t>
  </si>
  <si>
    <t>Vestuário</t>
  </si>
  <si>
    <t>Comunicação - internet e telefonia</t>
  </si>
  <si>
    <t>Energia elétrica</t>
  </si>
  <si>
    <t>Encargos sobre os salários dos vendedores</t>
  </si>
  <si>
    <t>Salários dos vendedores</t>
  </si>
  <si>
    <t>Juros sobre empréstimos</t>
  </si>
  <si>
    <t>IR sobre o lucro presumido</t>
  </si>
  <si>
    <t>PLANO DE CONTAS DE SAÍDA NÍVEL 2</t>
  </si>
  <si>
    <t>Data do Caixa Realizado</t>
  </si>
  <si>
    <t>Data da Competência</t>
  </si>
  <si>
    <t>Data do Caixa Previsto</t>
  </si>
  <si>
    <t>Conta Nível 1</t>
  </si>
  <si>
    <t>Conta Nível 2</t>
  </si>
  <si>
    <t>Histórico</t>
  </si>
  <si>
    <t>Valor</t>
  </si>
  <si>
    <t>Geral</t>
  </si>
  <si>
    <t>NF7238</t>
  </si>
  <si>
    <t>NF9147</t>
  </si>
  <si>
    <t>NF8005</t>
  </si>
  <si>
    <t>NF5493</t>
  </si>
  <si>
    <t>NF7946</t>
  </si>
  <si>
    <t>NF8598</t>
  </si>
  <si>
    <t>NF1535</t>
  </si>
  <si>
    <t>NF4333</t>
  </si>
  <si>
    <t>NF8091</t>
  </si>
  <si>
    <t/>
  </si>
  <si>
    <t>NF2421</t>
  </si>
  <si>
    <t>NF9787</t>
  </si>
  <si>
    <t>NF8674</t>
  </si>
  <si>
    <t>NF5880</t>
  </si>
  <si>
    <t>NF2763</t>
  </si>
  <si>
    <t>NF3303</t>
  </si>
  <si>
    <t>NF3966</t>
  </si>
  <si>
    <t>NF6107</t>
  </si>
  <si>
    <t>NF4832</t>
  </si>
  <si>
    <t>NF5012</t>
  </si>
  <si>
    <t>NF7669</t>
  </si>
  <si>
    <t>NF7663</t>
  </si>
  <si>
    <t>NF4063</t>
  </si>
  <si>
    <t>NF4290</t>
  </si>
  <si>
    <t>NF7319</t>
  </si>
  <si>
    <t>NF7020</t>
  </si>
  <si>
    <t>NF7221</t>
  </si>
  <si>
    <t>NF5004</t>
  </si>
  <si>
    <t>NF8690</t>
  </si>
  <si>
    <t>NF3424</t>
  </si>
  <si>
    <t>NF5808</t>
  </si>
  <si>
    <t>NF2852</t>
  </si>
  <si>
    <t>NF2347</t>
  </si>
  <si>
    <t>NF7848</t>
  </si>
  <si>
    <t>NF4449</t>
  </si>
  <si>
    <t>NF7540</t>
  </si>
  <si>
    <t>NF7741</t>
  </si>
  <si>
    <t>NF6190</t>
  </si>
  <si>
    <t>NF4129</t>
  </si>
  <si>
    <t>NF6811</t>
  </si>
  <si>
    <t>NF1550</t>
  </si>
  <si>
    <t>NF7213</t>
  </si>
  <si>
    <t>NF8396</t>
  </si>
  <si>
    <t>NF2432</t>
  </si>
  <si>
    <t>NF4722</t>
  </si>
  <si>
    <t>NF8944</t>
  </si>
  <si>
    <t>NF2816</t>
  </si>
  <si>
    <t>NF6358</t>
  </si>
  <si>
    <t>NF8459</t>
  </si>
  <si>
    <t>NF5737</t>
  </si>
  <si>
    <t>NF8895</t>
  </si>
  <si>
    <t>NF2196</t>
  </si>
  <si>
    <t>NF1631</t>
  </si>
  <si>
    <t>NF9340</t>
  </si>
  <si>
    <t>NF6851</t>
  </si>
  <si>
    <t>NF3336</t>
  </si>
  <si>
    <t>NF7526</t>
  </si>
  <si>
    <t>NF3023</t>
  </si>
  <si>
    <t>NF7934</t>
  </si>
  <si>
    <t>NF7720</t>
  </si>
  <si>
    <t>NF2719</t>
  </si>
  <si>
    <t>NF3036</t>
  </si>
  <si>
    <t>NF4604</t>
  </si>
  <si>
    <t>NF2493</t>
  </si>
  <si>
    <t>NF5788</t>
  </si>
  <si>
    <t>NF9580</t>
  </si>
  <si>
    <t>NF4061</t>
  </si>
  <si>
    <t>NF6503</t>
  </si>
  <si>
    <t>NF6701</t>
  </si>
  <si>
    <t>NF8891</t>
  </si>
  <si>
    <t>NF2640</t>
  </si>
  <si>
    <t>NF8852</t>
  </si>
  <si>
    <t>NF7869</t>
  </si>
  <si>
    <t>NF4994</t>
  </si>
  <si>
    <t>NF5720</t>
  </si>
  <si>
    <t>NF6393</t>
  </si>
  <si>
    <t>NF9057</t>
  </si>
  <si>
    <t>NF7365</t>
  </si>
  <si>
    <t>NF4559</t>
  </si>
  <si>
    <t>NF7119</t>
  </si>
  <si>
    <t>NF2814</t>
  </si>
  <si>
    <t>NF5963</t>
  </si>
  <si>
    <t>NF3293</t>
  </si>
  <si>
    <t>NF8254</t>
  </si>
  <si>
    <t>NF4303</t>
  </si>
  <si>
    <t>NF2605</t>
  </si>
  <si>
    <t>NF8043</t>
  </si>
  <si>
    <t>NF6697</t>
  </si>
  <si>
    <t>NF5208</t>
  </si>
  <si>
    <t>NF2907</t>
  </si>
  <si>
    <t>NF9381</t>
  </si>
  <si>
    <t>NF3247</t>
  </si>
  <si>
    <t>NF4377</t>
  </si>
  <si>
    <t>NF2988</t>
  </si>
  <si>
    <t>NF4912</t>
  </si>
  <si>
    <t>NF7104</t>
  </si>
  <si>
    <t>NF6700</t>
  </si>
  <si>
    <t>NF7947</t>
  </si>
  <si>
    <t>NF3255</t>
  </si>
  <si>
    <t>NF7106</t>
  </si>
  <si>
    <t>NF1835</t>
  </si>
  <si>
    <t>NF7322</t>
  </si>
  <si>
    <t>NF3899</t>
  </si>
  <si>
    <t>NF5496</t>
  </si>
  <si>
    <t>NF4824</t>
  </si>
  <si>
    <t>NF2022</t>
  </si>
  <si>
    <t>NF8075</t>
  </si>
  <si>
    <t>NF1137</t>
  </si>
  <si>
    <t>NF3353</t>
  </si>
  <si>
    <t>NF5074</t>
  </si>
  <si>
    <t>NF1725</t>
  </si>
  <si>
    <t>NF5560</t>
  </si>
  <si>
    <t>NF2674</t>
  </si>
  <si>
    <t>NF2175</t>
  </si>
  <si>
    <t>NF3338</t>
  </si>
  <si>
    <t>NF7689</t>
  </si>
  <si>
    <t>NF5938</t>
  </si>
  <si>
    <t>NF9391</t>
  </si>
  <si>
    <t>NF6298</t>
  </si>
  <si>
    <t>NF7941</t>
  </si>
  <si>
    <t>NF3604</t>
  </si>
  <si>
    <t>NF4605</t>
  </si>
  <si>
    <t>NF1759</t>
  </si>
  <si>
    <t>NF2800</t>
  </si>
  <si>
    <t>NF7248</t>
  </si>
  <si>
    <t>NF5280</t>
  </si>
  <si>
    <t>NF2968</t>
  </si>
  <si>
    <t>NF4862</t>
  </si>
  <si>
    <t>NF6224</t>
  </si>
  <si>
    <t>NF6974</t>
  </si>
  <si>
    <t>NF3171</t>
  </si>
  <si>
    <t>NF9089</t>
  </si>
  <si>
    <t>NF9607</t>
  </si>
  <si>
    <t>NF6643</t>
  </si>
  <si>
    <t>NF3939</t>
  </si>
  <si>
    <t>NF3599</t>
  </si>
  <si>
    <t>NF9914</t>
  </si>
  <si>
    <t>NF5492</t>
  </si>
  <si>
    <t>NF7516</t>
  </si>
  <si>
    <t>NF8652</t>
  </si>
  <si>
    <t>NF4809</t>
  </si>
  <si>
    <t>NF5491</t>
  </si>
  <si>
    <t>NF7862</t>
  </si>
  <si>
    <t>NF3137</t>
  </si>
  <si>
    <t>NF2705</t>
  </si>
  <si>
    <t>NF9537</t>
  </si>
  <si>
    <t>NF1700</t>
  </si>
  <si>
    <t>NF9052</t>
  </si>
  <si>
    <t>NF9827</t>
  </si>
  <si>
    <t>NF4056</t>
  </si>
  <si>
    <t>NF4381</t>
  </si>
  <si>
    <t>NF5374</t>
  </si>
  <si>
    <t>NF4782</t>
  </si>
  <si>
    <t>NF9770</t>
  </si>
  <si>
    <t>NF3186</t>
  </si>
  <si>
    <t>NF7423</t>
  </si>
  <si>
    <t>NF3114</t>
  </si>
  <si>
    <t>NF1359</t>
  </si>
  <si>
    <t>NF5107</t>
  </si>
  <si>
    <t>NF4367</t>
  </si>
  <si>
    <t>NF8386</t>
  </si>
  <si>
    <t>NF5922</t>
  </si>
  <si>
    <t>NF9970</t>
  </si>
  <si>
    <t>NF1938</t>
  </si>
  <si>
    <t>NF7772</t>
  </si>
  <si>
    <t>NF9932</t>
  </si>
  <si>
    <t>NF2970</t>
  </si>
  <si>
    <t>NF4423</t>
  </si>
  <si>
    <t>NF9682</t>
  </si>
  <si>
    <t>NF7840</t>
  </si>
  <si>
    <t>NF4946</t>
  </si>
  <si>
    <t>NF6806</t>
  </si>
  <si>
    <t>NF3882</t>
  </si>
  <si>
    <t>NF1850</t>
  </si>
  <si>
    <t>NF7979</t>
  </si>
  <si>
    <t>NF1547</t>
  </si>
  <si>
    <t>NF2309</t>
  </si>
  <si>
    <t>NF5791</t>
  </si>
  <si>
    <t>NF2982</t>
  </si>
  <si>
    <t>NF1796</t>
  </si>
  <si>
    <t>NF2396</t>
  </si>
  <si>
    <t>NF8281</t>
  </si>
  <si>
    <t>NF3155</t>
  </si>
  <si>
    <t>NF4849</t>
  </si>
  <si>
    <t>NF4647</t>
  </si>
  <si>
    <t>NF9056</t>
  </si>
  <si>
    <t>NF4097</t>
  </si>
  <si>
    <t>NF9792</t>
  </si>
  <si>
    <t>NF1943</t>
  </si>
  <si>
    <t>NF5598</t>
  </si>
  <si>
    <t>NF8881</t>
  </si>
  <si>
    <t>NF3500</t>
  </si>
  <si>
    <t>NF3489</t>
  </si>
  <si>
    <t>NF8682</t>
  </si>
  <si>
    <t>NF8525</t>
  </si>
  <si>
    <t>NF2006</t>
  </si>
  <si>
    <t>NF7648</t>
  </si>
  <si>
    <t>NF6770</t>
  </si>
  <si>
    <t>NF2352</t>
  </si>
  <si>
    <t>NF4686</t>
  </si>
  <si>
    <t>NF9108</t>
  </si>
  <si>
    <t>NF1934</t>
  </si>
  <si>
    <t>NF5748</t>
  </si>
  <si>
    <t>NF3443</t>
  </si>
  <si>
    <t>NF4433</t>
  </si>
  <si>
    <t>NF7700</t>
  </si>
  <si>
    <t>NF8475</t>
  </si>
  <si>
    <t>NF3694</t>
  </si>
  <si>
    <t>NF5571</t>
  </si>
  <si>
    <t>NF7836</t>
  </si>
  <si>
    <t>NF7705</t>
  </si>
  <si>
    <t>NF1629</t>
  </si>
  <si>
    <t>NF4027</t>
  </si>
  <si>
    <t>NF7582</t>
  </si>
  <si>
    <t>NF7868</t>
  </si>
  <si>
    <t>NF6154</t>
  </si>
  <si>
    <t>NF5531</t>
  </si>
  <si>
    <t>NF9744</t>
  </si>
  <si>
    <t>NF1516</t>
  </si>
  <si>
    <t>NF2007</t>
  </si>
  <si>
    <t>NF9904</t>
  </si>
  <si>
    <t>NF8631</t>
  </si>
  <si>
    <t>NF5098</t>
  </si>
  <si>
    <t>NF8169</t>
  </si>
  <si>
    <t>NF4469</t>
  </si>
  <si>
    <t>NF6729</t>
  </si>
  <si>
    <t>NF3586</t>
  </si>
  <si>
    <t>NF9837</t>
  </si>
  <si>
    <t>NF6344</t>
  </si>
  <si>
    <t>NF3701</t>
  </si>
  <si>
    <t>NF4400</t>
  </si>
  <si>
    <t>NF5356</t>
  </si>
  <si>
    <t>NF1847</t>
  </si>
  <si>
    <t>NF7011</t>
  </si>
  <si>
    <t>NF7746</t>
  </si>
  <si>
    <t>NF1507</t>
  </si>
  <si>
    <t>NF5445</t>
  </si>
  <si>
    <t>NF7559</t>
  </si>
  <si>
    <t>NF9357</t>
  </si>
  <si>
    <t>NF3898</t>
  </si>
  <si>
    <t>NF7275</t>
  </si>
  <si>
    <t>NF9591</t>
  </si>
  <si>
    <t>NF3104</t>
  </si>
  <si>
    <t>NF3440</t>
  </si>
  <si>
    <t>NF9195</t>
  </si>
  <si>
    <t>NF1821</t>
  </si>
  <si>
    <t>NF5625</t>
  </si>
  <si>
    <t>NF7471</t>
  </si>
  <si>
    <t>NF9225</t>
  </si>
  <si>
    <t>NF3883</t>
  </si>
  <si>
    <t>NF9408</t>
  </si>
  <si>
    <t>NF1517</t>
  </si>
  <si>
    <t>NF8626</t>
  </si>
  <si>
    <t>NF4936</t>
  </si>
  <si>
    <t>NF7062</t>
  </si>
  <si>
    <t>NF3172</t>
  </si>
  <si>
    <t>NF5821</t>
  </si>
  <si>
    <t>NF8137</t>
  </si>
  <si>
    <t>NF8083</t>
  </si>
  <si>
    <t>NF9597</t>
  </si>
  <si>
    <t>NF2065</t>
  </si>
  <si>
    <t>NF3192</t>
  </si>
  <si>
    <t>NF1977</t>
  </si>
  <si>
    <t>NF3208</t>
  </si>
  <si>
    <t>NF9545</t>
  </si>
  <si>
    <t>NF3100</t>
  </si>
  <si>
    <t>NF1179</t>
  </si>
  <si>
    <t>NF3829</t>
  </si>
  <si>
    <t>NF6865</t>
  </si>
  <si>
    <t>NF9617</t>
  </si>
  <si>
    <t>NF5659</t>
  </si>
  <si>
    <t>NF6102</t>
  </si>
  <si>
    <t>NF8162</t>
  </si>
  <si>
    <t>NF4573</t>
  </si>
  <si>
    <t>NF8503</t>
  </si>
  <si>
    <t>NF3380</t>
  </si>
  <si>
    <t>NF6566</t>
  </si>
  <si>
    <t>NF5838</t>
  </si>
  <si>
    <t>NF1174</t>
  </si>
  <si>
    <t>NF2942</t>
  </si>
  <si>
    <t>NF8563</t>
  </si>
  <si>
    <t>NF8237</t>
  </si>
  <si>
    <t>NF4859</t>
  </si>
  <si>
    <t>NF1529</t>
  </si>
  <si>
    <t>NF6931</t>
  </si>
  <si>
    <t>NF9620</t>
  </si>
  <si>
    <t>NF4547</t>
  </si>
  <si>
    <t>NF6004</t>
  </si>
  <si>
    <t>NF3415</t>
  </si>
  <si>
    <t>NF1603</t>
  </si>
  <si>
    <t>NF8784</t>
  </si>
  <si>
    <t>NF1826</t>
  </si>
  <si>
    <t>NF7390</t>
  </si>
  <si>
    <t>NF7009</t>
  </si>
  <si>
    <t>NF7629</t>
  </si>
  <si>
    <t>NF2748</t>
  </si>
  <si>
    <t>NF5961</t>
  </si>
  <si>
    <t>NF7680</t>
  </si>
  <si>
    <t>NF9629</t>
  </si>
  <si>
    <t>NF5978</t>
  </si>
  <si>
    <t>NF5651</t>
  </si>
  <si>
    <t>NF5401</t>
  </si>
  <si>
    <t>NF9115</t>
  </si>
  <si>
    <t>NF4115</t>
  </si>
  <si>
    <t>NF5683</t>
  </si>
  <si>
    <t>NF7027</t>
  </si>
  <si>
    <t>NF7168</t>
  </si>
  <si>
    <t>NF4972</t>
  </si>
  <si>
    <t>NF7283</t>
  </si>
  <si>
    <t>NF6320</t>
  </si>
  <si>
    <t>NF7850</t>
  </si>
  <si>
    <t>NF2420</t>
  </si>
  <si>
    <t>NF6764</t>
  </si>
  <si>
    <t>NF6382</t>
  </si>
  <si>
    <t>NF8079</t>
  </si>
  <si>
    <t>NF2434</t>
  </si>
  <si>
    <t>NF3230</t>
  </si>
  <si>
    <t>NF8847</t>
  </si>
  <si>
    <t>NF8053</t>
  </si>
  <si>
    <t>NF2454</t>
  </si>
  <si>
    <t>NF8252</t>
  </si>
  <si>
    <t>NF6573</t>
  </si>
  <si>
    <t>NF8780</t>
  </si>
  <si>
    <t>NF6166</t>
  </si>
  <si>
    <t>NF8437</t>
  </si>
  <si>
    <t>NF6635</t>
  </si>
  <si>
    <t>NF8734</t>
  </si>
  <si>
    <t>NF4208</t>
  </si>
  <si>
    <t>NF4923</t>
  </si>
  <si>
    <t>NF6782</t>
  </si>
  <si>
    <t>NF6280</t>
  </si>
  <si>
    <t>NF7827</t>
  </si>
  <si>
    <t>NF5357</t>
  </si>
  <si>
    <t>NF8188</t>
  </si>
  <si>
    <t>NF4640</t>
  </si>
  <si>
    <t>NF2293</t>
  </si>
  <si>
    <t>NF2933</t>
  </si>
  <si>
    <t>NF4384</t>
  </si>
  <si>
    <t>NF8316</t>
  </si>
  <si>
    <t>NF1506</t>
  </si>
  <si>
    <t>NF4913</t>
  </si>
  <si>
    <t>NF8526</t>
  </si>
  <si>
    <t>NF9873</t>
  </si>
  <si>
    <t>NF9870</t>
  </si>
  <si>
    <t>NF5563</t>
  </si>
  <si>
    <t>NF5510</t>
  </si>
  <si>
    <t>NF1440</t>
  </si>
  <si>
    <t>NF2709</t>
  </si>
  <si>
    <t>NF9886</t>
  </si>
  <si>
    <t>NF6993</t>
  </si>
  <si>
    <t>NF9126</t>
  </si>
  <si>
    <t>NF3531</t>
  </si>
  <si>
    <t>NF6599</t>
  </si>
  <si>
    <t>NF9323</t>
  </si>
  <si>
    <t>NF3529</t>
  </si>
  <si>
    <t>NF5824</t>
  </si>
  <si>
    <t>NF3860</t>
  </si>
  <si>
    <t>NF7260</t>
  </si>
  <si>
    <t>NF2238</t>
  </si>
  <si>
    <t>NF7342</t>
  </si>
  <si>
    <t>NF8517</t>
  </si>
  <si>
    <t>NF9366</t>
  </si>
  <si>
    <t>NF4973</t>
  </si>
  <si>
    <t>NF1111</t>
  </si>
  <si>
    <t>NF8344</t>
  </si>
  <si>
    <t>NF8750</t>
  </si>
  <si>
    <t>NF7616</t>
  </si>
  <si>
    <t>NF3536</t>
  </si>
  <si>
    <t>NF9376</t>
  </si>
  <si>
    <t>NF1222</t>
  </si>
  <si>
    <t>NF3914</t>
  </si>
  <si>
    <t>NF7447</t>
  </si>
  <si>
    <t>NF5088</t>
  </si>
  <si>
    <t>NF7858</t>
  </si>
  <si>
    <t>NF7692</t>
  </si>
  <si>
    <t>NF6262</t>
  </si>
  <si>
    <t>NF9573</t>
  </si>
  <si>
    <t>NF8087</t>
  </si>
  <si>
    <t>NF5909</t>
  </si>
  <si>
    <t>NF4172</t>
  </si>
  <si>
    <t>NF8957</t>
  </si>
  <si>
    <t>NF2981</t>
  </si>
  <si>
    <t>NF5104</t>
  </si>
  <si>
    <t>NF3942</t>
  </si>
  <si>
    <t>NF6376</t>
  </si>
  <si>
    <t>NF7518</t>
  </si>
  <si>
    <t>NF5359</t>
  </si>
  <si>
    <t>NF5153</t>
  </si>
  <si>
    <t>NF3127</t>
  </si>
  <si>
    <t>NF7641</t>
  </si>
  <si>
    <t>NF2758</t>
  </si>
  <si>
    <t>NF9279</t>
  </si>
  <si>
    <t>NF2386</t>
  </si>
  <si>
    <t>NF6751</t>
  </si>
  <si>
    <t>NF9460</t>
  </si>
  <si>
    <t>NF5556</t>
  </si>
  <si>
    <t>NF4918</t>
  </si>
  <si>
    <t>NF1763</t>
  </si>
  <si>
    <t>NF2024</t>
  </si>
  <si>
    <t>NF6383</t>
  </si>
  <si>
    <t>NF3919</t>
  </si>
  <si>
    <t>NF1390</t>
  </si>
  <si>
    <t>NF2500</t>
  </si>
  <si>
    <t>NF2427</t>
  </si>
  <si>
    <t>NF4680</t>
  </si>
  <si>
    <t>NF7019</t>
  </si>
  <si>
    <t>NF4961</t>
  </si>
  <si>
    <t>NF4608</t>
  </si>
  <si>
    <t>NF1913</t>
  </si>
  <si>
    <t>NF5844</t>
  </si>
  <si>
    <t>NF7813</t>
  </si>
  <si>
    <t>NF6780</t>
  </si>
  <si>
    <t>NF9599</t>
  </si>
  <si>
    <t>NF8659</t>
  </si>
  <si>
    <t>NF4652</t>
  </si>
  <si>
    <t>NF3068</t>
  </si>
  <si>
    <t>NF7141</t>
  </si>
  <si>
    <t>NF3366</t>
  </si>
  <si>
    <t>NF8853</t>
  </si>
  <si>
    <t>NF7681</t>
  </si>
  <si>
    <t>NF1441</t>
  </si>
  <si>
    <t>NF9964</t>
  </si>
  <si>
    <t>NF9101</t>
  </si>
  <si>
    <t>NF3185</t>
  </si>
  <si>
    <t>NF2836</t>
  </si>
  <si>
    <t>NF7779</t>
  </si>
  <si>
    <t>NF5919</t>
  </si>
  <si>
    <t>NF1620</t>
  </si>
  <si>
    <t>NF3801</t>
  </si>
  <si>
    <t>NF8086</t>
  </si>
  <si>
    <t>NF4964</t>
  </si>
  <si>
    <t>NF6112</t>
  </si>
  <si>
    <t>NF2333</t>
  </si>
  <si>
    <t>NF7121</t>
  </si>
  <si>
    <t>NF8208</t>
  </si>
  <si>
    <t>NF1320</t>
  </si>
  <si>
    <t>NF9162</t>
  </si>
  <si>
    <t>NF1497</t>
  </si>
  <si>
    <t>NF8398</t>
  </si>
  <si>
    <t>NF1274</t>
  </si>
  <si>
    <t>NF1599</t>
  </si>
  <si>
    <t>NF6880</t>
  </si>
  <si>
    <t>NF3246</t>
  </si>
  <si>
    <t>NF5900</t>
  </si>
  <si>
    <t>NF2566</t>
  </si>
  <si>
    <t>NF1823</t>
  </si>
  <si>
    <t>NF9109</t>
  </si>
  <si>
    <t>NF4812</t>
  </si>
  <si>
    <t>NF9082</t>
  </si>
  <si>
    <t>NF3611</t>
  </si>
  <si>
    <t>NF4931</t>
  </si>
  <si>
    <t>ANO &gt;&gt;&gt;</t>
  </si>
  <si>
    <t>FLUXO DE CAIXA - REGIME DE CAIXA (Realizado)</t>
  </si>
  <si>
    <t>ESPECIFICAÇÃO</t>
  </si>
  <si>
    <t>ENTRADAS</t>
  </si>
  <si>
    <t>SAÍDAS</t>
  </si>
  <si>
    <t>SALDO FINAL</t>
  </si>
  <si>
    <t>JAN</t>
  </si>
  <si>
    <t>FEV</t>
  </si>
  <si>
    <t>MAR</t>
  </si>
  <si>
    <t>ABR</t>
  </si>
  <si>
    <t>MAI</t>
  </si>
  <si>
    <t>JUN</t>
  </si>
  <si>
    <t>JUL</t>
  </si>
  <si>
    <t>AGO</t>
  </si>
  <si>
    <t>SET</t>
  </si>
  <si>
    <t>OUT</t>
  </si>
  <si>
    <t>NOV</t>
  </si>
  <si>
    <t>DEZ</t>
  </si>
  <si>
    <t>SALDO INICIAL</t>
  </si>
  <si>
    <t>FLUXO DE CAIXA - REGIME DE COMPETÊNCIA (CONTÁBIL)</t>
  </si>
  <si>
    <t>RESULTADO FINAL - REGIME DE COMPETÊNCIA</t>
  </si>
  <si>
    <t>TOTAL DE ENTRADAS</t>
  </si>
  <si>
    <t>TOTAL DE SAÍDAS</t>
  </si>
  <si>
    <t>LUCRO</t>
  </si>
  <si>
    <t>PREJUÍZO</t>
  </si>
  <si>
    <t>ACUMULADO</t>
  </si>
  <si>
    <t>Mês Caixa</t>
  </si>
  <si>
    <t>Ano Caixa</t>
  </si>
  <si>
    <t>Mês Competência</t>
  </si>
  <si>
    <t>Ano Competência</t>
  </si>
  <si>
    <t>(All)</t>
  </si>
  <si>
    <t>Row Labels</t>
  </si>
  <si>
    <t>Grand Total</t>
  </si>
  <si>
    <t>Column Labels</t>
  </si>
  <si>
    <t>Sum of Valor</t>
  </si>
  <si>
    <t>Mês Previsto</t>
  </si>
  <si>
    <t>Ano Previsto</t>
  </si>
  <si>
    <t>0 Total</t>
  </si>
  <si>
    <t>Conta Vencida</t>
  </si>
  <si>
    <t>Vencida</t>
  </si>
  <si>
    <t>Vencida Total</t>
  </si>
  <si>
    <t>DASHBOARD FINANCEIRO - POSIÇÃO ANUAL</t>
  </si>
  <si>
    <t>Saldo de Caixa</t>
  </si>
  <si>
    <t>Contas a Pagar e a Receber Mensal</t>
  </si>
  <si>
    <t>Perfil das Vendas</t>
  </si>
  <si>
    <t>Atraso médio das contas</t>
  </si>
  <si>
    <t>A Receber</t>
  </si>
  <si>
    <t>A Pagar</t>
  </si>
  <si>
    <t>Dias</t>
  </si>
  <si>
    <t>Resultado Acumulado</t>
  </si>
  <si>
    <t>Despesa Mensal - Conta Nível 2</t>
  </si>
  <si>
    <t>Evolução de Vendas - Conta Nível 2</t>
  </si>
  <si>
    <t>DASHBOARD ANUAL</t>
  </si>
  <si>
    <t>Minigráficos de contas a Pagar e a Receber</t>
  </si>
  <si>
    <t>Evolução das vendas</t>
  </si>
  <si>
    <t>Ano:</t>
  </si>
  <si>
    <t>ANO:</t>
  </si>
  <si>
    <t>Mês</t>
  </si>
  <si>
    <t>Pagar Mensal</t>
  </si>
  <si>
    <t>Receber Mensal</t>
  </si>
  <si>
    <t>Gráfico</t>
  </si>
  <si>
    <t>Jan</t>
  </si>
  <si>
    <t>Fev</t>
  </si>
  <si>
    <t>Saldo do Caixa</t>
  </si>
  <si>
    <t>Mar</t>
  </si>
  <si>
    <t>Entradas</t>
  </si>
  <si>
    <t>Abr</t>
  </si>
  <si>
    <t>Saídas</t>
  </si>
  <si>
    <t>Mai</t>
  </si>
  <si>
    <t>Saldo</t>
  </si>
  <si>
    <t>Jun</t>
  </si>
  <si>
    <t>Jul</t>
  </si>
  <si>
    <t>Contas a pagar total</t>
  </si>
  <si>
    <t>Ago</t>
  </si>
  <si>
    <t>Contas a receber total</t>
  </si>
  <si>
    <t>Set</t>
  </si>
  <si>
    <t>Out</t>
  </si>
  <si>
    <t>Nov</t>
  </si>
  <si>
    <t>Dez</t>
  </si>
  <si>
    <t xml:space="preserve">Perfil das Vendas </t>
  </si>
  <si>
    <t>Ano</t>
  </si>
  <si>
    <t>À Vista</t>
  </si>
  <si>
    <t>A Prazo</t>
  </si>
  <si>
    <t>Total</t>
  </si>
  <si>
    <t>Atraso médio nas contas a receber</t>
  </si>
  <si>
    <t>Atraso médio nas contas a pagar</t>
  </si>
  <si>
    <t>Qtde.</t>
  </si>
  <si>
    <t>Média</t>
  </si>
  <si>
    <t>Resultado no Período</t>
  </si>
  <si>
    <t>Despesa Mensal</t>
  </si>
  <si>
    <t>Resultado</t>
  </si>
  <si>
    <t>Saldo Inicial</t>
  </si>
  <si>
    <t>Contas a Pagar</t>
  </si>
  <si>
    <t>Contas a Receber</t>
  </si>
  <si>
    <t xml:space="preserve">  J     F     M    A    M     J      J     A     S    O   N   D</t>
  </si>
  <si>
    <t>Venda à Vista</t>
  </si>
  <si>
    <t>Dias de Atraso</t>
  </si>
  <si>
    <t>HOJE: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</si>
</sst>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R$&quot;\ #,##0;[Red]\-&quot;R$&quot;\ #,##0"/>
    <numFmt numFmtId="44" formatCode="_-&quot;R$&quot;\ * #,##0.00_-;\-&quot;R$&quot;\ * #,##0.00_-;_-&quot;R$&quot;\ * &quot;-&quot;??_-;_-@_-"/>
    <numFmt numFmtId="43" formatCode="_-* #,##0.00_-;\-* #,##0.00_-;_-* &quot;-&quot;??_-;_-@_-"/>
    <numFmt numFmtId="164" formatCode="#,##0_ ;[Red]\-#,##0\ "/>
    <numFmt numFmtId="165" formatCode="&quot;R$&quot;\ #,##0.00"/>
    <numFmt numFmtId="166" formatCode="&quot;R$&quot;\ #,##0"/>
    <numFmt numFmtId="167" formatCode="_-&quot;R$&quot;* #,##0.00_-;\-&quot;R$&quot;* #,##0.00_-;_-&quot;R$&quot;* &quot;-&quot;??_-;_-@_-"/>
  </numFmts>
  <fonts count="29" x14ac:knownFonts="1">
    <font>
      <sz val="11"/>
      <color theme="1"/>
      <name val="Aptos Narrow"/>
      <family val="2"/>
      <scheme val="minor"/>
    </font>
    <font>
      <b/>
      <sz val="16"/>
      <color theme="0"/>
      <name val="Calibri"/>
      <family val="2"/>
    </font>
    <font>
      <sz val="11"/>
      <color theme="3" tint="-0.499984740745262"/>
      <name val="Aptos Narrow"/>
      <family val="2"/>
      <scheme val="minor"/>
    </font>
    <font>
      <b/>
      <sz val="20"/>
      <color rgb="FFFFFF00"/>
      <name val="Calibri"/>
      <family val="2"/>
    </font>
    <font>
      <b/>
      <sz val="14"/>
      <color rgb="FFFFFF00"/>
      <name val="Calibri"/>
      <family val="2"/>
    </font>
    <font>
      <b/>
      <sz val="11"/>
      <color theme="1"/>
      <name val="Aptos Narrow"/>
      <family val="2"/>
      <scheme val="minor"/>
    </font>
    <font>
      <b/>
      <sz val="11"/>
      <color theme="4"/>
      <name val="Aptos Narrow"/>
      <family val="2"/>
      <scheme val="minor"/>
    </font>
    <font>
      <b/>
      <sz val="11"/>
      <color rgb="FF00B050"/>
      <name val="Aptos Narrow"/>
      <family val="2"/>
      <scheme val="minor"/>
    </font>
    <font>
      <sz val="8"/>
      <name val="Aptos Narrow"/>
      <family val="2"/>
      <scheme val="minor"/>
    </font>
    <font>
      <b/>
      <sz val="11"/>
      <color rgb="FF0070C0"/>
      <name val="Aptos Narrow"/>
      <family val="2"/>
      <scheme val="minor"/>
    </font>
    <font>
      <b/>
      <sz val="11"/>
      <color theme="9" tint="-0.249977111117893"/>
      <name val="Aptos Narrow"/>
      <family val="2"/>
      <scheme val="minor"/>
    </font>
    <font>
      <sz val="11"/>
      <color rgb="FF0070C0"/>
      <name val="Aptos Narrow"/>
      <family val="2"/>
      <scheme val="minor"/>
    </font>
    <font>
      <sz val="11"/>
      <color theme="1"/>
      <name val="Aptos Narrow"/>
      <family val="2"/>
      <scheme val="minor"/>
    </font>
    <font>
      <b/>
      <sz val="20"/>
      <color theme="1"/>
      <name val="Calibri"/>
      <family val="2"/>
    </font>
    <font>
      <b/>
      <sz val="11"/>
      <color theme="1"/>
      <name val="Calibri"/>
      <family val="2"/>
    </font>
    <font>
      <sz val="11"/>
      <color theme="1"/>
      <name val="Calibri"/>
      <family val="2"/>
    </font>
    <font>
      <b/>
      <sz val="20"/>
      <color rgb="FF00B0F0"/>
      <name val="Calibri"/>
      <family val="2"/>
    </font>
    <font>
      <b/>
      <sz val="20"/>
      <color rgb="FFFF0000"/>
      <name val="Calibri"/>
      <family val="2"/>
    </font>
    <font>
      <b/>
      <sz val="14"/>
      <color theme="4"/>
      <name val="Calibri"/>
      <family val="2"/>
    </font>
    <font>
      <b/>
      <sz val="28"/>
      <color rgb="FFFF0000"/>
      <name val="Calibri"/>
      <family val="2"/>
    </font>
    <font>
      <b/>
      <sz val="28"/>
      <color theme="9" tint="-0.249977111117893"/>
      <name val="Calibri"/>
      <family val="2"/>
    </font>
    <font>
      <b/>
      <sz val="20"/>
      <color rgb="FF7030A0"/>
      <name val="Calibri"/>
      <family val="2"/>
    </font>
    <font>
      <b/>
      <sz val="20"/>
      <color theme="9" tint="-0.249977111117893"/>
      <name val="Calibri"/>
      <family val="2"/>
    </font>
    <font>
      <b/>
      <sz val="14"/>
      <color theme="5" tint="-0.249977111117893"/>
      <name val="Calibri"/>
      <family val="2"/>
    </font>
    <font>
      <b/>
      <sz val="11"/>
      <color rgb="FF000000"/>
      <name val="Calibri"/>
      <family val="2"/>
    </font>
    <font>
      <sz val="11"/>
      <color rgb="FF4472C4"/>
      <name val="Calibri"/>
      <family val="2"/>
    </font>
    <font>
      <sz val="11"/>
      <color rgb="FF548235"/>
      <name val="Calibri"/>
      <family val="2"/>
    </font>
    <font>
      <b/>
      <sz val="20"/>
      <color rgb="FF92D050"/>
      <name val="Calibri"/>
      <family val="2"/>
    </font>
    <font>
      <b/>
      <sz val="14"/>
      <color rgb="FFFFC000"/>
      <name val="Calibri"/>
      <family val="2"/>
    </font>
  </fonts>
  <fills count="9">
    <fill>
      <patternFill patternType="none"/>
    </fill>
    <fill>
      <patternFill patternType="gray125"/>
    </fill>
    <fill>
      <patternFill patternType="solid">
        <fgColor theme="3" tint="0.49998474074526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
      <patternFill patternType="solid">
        <fgColor rgb="FFD0CECE"/>
        <bgColor rgb="FF000000"/>
      </patternFill>
    </fill>
    <fill>
      <patternFill patternType="solid">
        <fgColor theme="2"/>
        <bgColor indexed="64"/>
      </patternFill>
    </fill>
    <fill>
      <patternFill patternType="solid">
        <fgColor theme="7" tint="0.3999755851924192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theme="1"/>
      </left>
      <right style="thin">
        <color theme="1"/>
      </right>
      <top/>
      <bottom style="medium">
        <color theme="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indexed="64"/>
      </top>
      <bottom style="thin">
        <color indexed="64"/>
      </bottom>
      <diagonal/>
    </border>
    <border>
      <left style="thin">
        <color auto="1"/>
      </left>
      <right/>
      <top style="thin">
        <color theme="2" tint="-0.24994659260841701"/>
      </top>
      <bottom/>
      <diagonal/>
    </border>
    <border>
      <left/>
      <right/>
      <top style="thin">
        <color theme="2" tint="-0.24994659260841701"/>
      </top>
      <bottom/>
      <diagonal/>
    </border>
    <border>
      <left/>
      <right style="thin">
        <color auto="1"/>
      </right>
      <top style="thin">
        <color theme="2" tint="-0.24994659260841701"/>
      </top>
      <bottom/>
      <diagonal/>
    </border>
    <border>
      <left style="thin">
        <color auto="1"/>
      </left>
      <right/>
      <top/>
      <bottom style="thin">
        <color theme="2" tint="-0.24994659260841701"/>
      </bottom>
      <diagonal/>
    </border>
    <border>
      <left/>
      <right/>
      <top/>
      <bottom style="thin">
        <color theme="2" tint="-0.24994659260841701"/>
      </bottom>
      <diagonal/>
    </border>
    <border>
      <left/>
      <right style="thin">
        <color auto="1"/>
      </right>
      <top/>
      <bottom style="thin">
        <color theme="2" tint="-0.24994659260841701"/>
      </bottom>
      <diagonal/>
    </border>
    <border>
      <left/>
      <right/>
      <top style="thin">
        <color indexed="64"/>
      </top>
      <bottom/>
      <diagonal/>
    </border>
    <border>
      <left style="thin">
        <color auto="1"/>
      </left>
      <right/>
      <top style="thin">
        <color theme="2" tint="-0.24994659260841701"/>
      </top>
      <bottom style="thin">
        <color auto="1"/>
      </bottom>
      <diagonal/>
    </border>
    <border>
      <left/>
      <right/>
      <top style="thin">
        <color theme="2" tint="-0.24994659260841701"/>
      </top>
      <bottom style="thin">
        <color auto="1"/>
      </bottom>
      <diagonal/>
    </border>
    <border>
      <left/>
      <right style="thin">
        <color auto="1"/>
      </right>
      <top style="thin">
        <color theme="2" tint="-0.24994659260841701"/>
      </top>
      <bottom style="thin">
        <color auto="1"/>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style="thin">
        <color theme="2" tint="-0.24994659260841701"/>
      </right>
      <top/>
      <bottom style="thin">
        <color theme="2" tint="-0.24994659260841701"/>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top/>
      <bottom/>
      <diagonal/>
    </border>
    <border>
      <left/>
      <right style="thin">
        <color theme="2" tint="-0.24994659260841701"/>
      </right>
      <top/>
      <bottom/>
      <diagonal/>
    </border>
    <border>
      <left style="thin">
        <color theme="2" tint="-0.24994659260841701"/>
      </left>
      <right/>
      <top/>
      <bottom style="thin">
        <color theme="2" tint="-0.24994659260841701"/>
      </bottom>
      <diagonal/>
    </border>
    <border>
      <left/>
      <right style="thin">
        <color theme="2" tint="-0.24994659260841701"/>
      </right>
      <top/>
      <bottom style="thin">
        <color theme="2" tint="-0.24994659260841701"/>
      </bottom>
      <diagonal/>
    </border>
    <border>
      <left style="thin">
        <color theme="2" tint="-0.24994659260841701"/>
      </left>
      <right style="thin">
        <color theme="2" tint="-0.24994659260841701"/>
      </right>
      <top/>
      <bottom/>
      <diagonal/>
    </border>
    <border>
      <left/>
      <right/>
      <top style="thin">
        <color rgb="FFA6A6A6"/>
      </top>
      <bottom style="thin">
        <color rgb="FFA6A6A6"/>
      </bottom>
      <diagonal/>
    </border>
    <border>
      <left/>
      <right/>
      <top style="thin">
        <color rgb="FFA6A6A6"/>
      </top>
      <bottom/>
      <diagonal/>
    </border>
    <border>
      <left/>
      <right/>
      <top/>
      <bottom style="thin">
        <color rgb="FFA6A6A6"/>
      </bottom>
      <diagonal/>
    </border>
    <border>
      <left/>
      <right/>
      <top style="thin">
        <color rgb="FFA6A6A6"/>
      </top>
      <bottom style="thin">
        <color indexed="64"/>
      </bottom>
      <diagonal/>
    </border>
  </borders>
  <cellStyleXfs count="2">
    <xf numFmtId="0" fontId="0" fillId="0" borderId="0"/>
    <xf numFmtId="43" fontId="12" fillId="0" borderId="0" applyFont="0" applyFill="0" applyBorder="0" applyAlignment="0" applyProtection="0"/>
  </cellStyleXfs>
  <cellXfs count="143">
    <xf numFmtId="0" fontId="0" fillId="0" borderId="0" xfId="0"/>
    <xf numFmtId="0" fontId="0" fillId="2" borderId="0" xfId="0" applyFill="1"/>
    <xf numFmtId="0" fontId="2" fillId="0" borderId="0" xfId="0" applyFont="1"/>
    <xf numFmtId="0" fontId="0" fillId="3" borderId="0" xfId="0" applyFill="1"/>
    <xf numFmtId="0" fontId="1" fillId="2" borderId="0" xfId="0" applyFont="1" applyFill="1" applyAlignment="1">
      <alignment vertical="center"/>
    </xf>
    <xf numFmtId="0" fontId="3" fillId="2" borderId="0" xfId="0" applyFont="1" applyFill="1" applyAlignment="1">
      <alignment horizontal="right" vertical="center"/>
    </xf>
    <xf numFmtId="0" fontId="0" fillId="4" borderId="0" xfId="0" applyFill="1"/>
    <xf numFmtId="0" fontId="5" fillId="4" borderId="1" xfId="0" applyFont="1" applyFill="1" applyBorder="1" applyAlignment="1">
      <alignment horizontal="center" vertical="center"/>
    </xf>
    <xf numFmtId="14" fontId="1" fillId="2" borderId="0" xfId="0" applyNumberFormat="1" applyFont="1" applyFill="1" applyAlignment="1">
      <alignment vertical="center"/>
    </xf>
    <xf numFmtId="14" fontId="0" fillId="2" borderId="0" xfId="0" applyNumberFormat="1" applyFill="1"/>
    <xf numFmtId="14" fontId="0" fillId="3" borderId="0" xfId="0" applyNumberFormat="1" applyFill="1"/>
    <xf numFmtId="14" fontId="0" fillId="0" borderId="0" xfId="0" applyNumberFormat="1"/>
    <xf numFmtId="44" fontId="3" fillId="2" borderId="0" xfId="0" applyNumberFormat="1" applyFont="1" applyFill="1" applyAlignment="1">
      <alignment horizontal="right" vertical="center"/>
    </xf>
    <xf numFmtId="44" fontId="0" fillId="3" borderId="0" xfId="0" applyNumberFormat="1" applyFill="1"/>
    <xf numFmtId="44" fontId="0" fillId="0" borderId="0" xfId="0" applyNumberFormat="1"/>
    <xf numFmtId="0" fontId="0" fillId="0" borderId="0" xfId="0" applyAlignment="1">
      <alignment vertical="center"/>
    </xf>
    <xf numFmtId="14" fontId="0" fillId="4" borderId="0" xfId="0" applyNumberFormat="1" applyFill="1" applyAlignment="1">
      <alignment vertical="center" wrapText="1"/>
    </xf>
    <xf numFmtId="0" fontId="0" fillId="4" borderId="0" xfId="0" applyFill="1" applyAlignment="1">
      <alignment vertical="center" wrapText="1"/>
    </xf>
    <xf numFmtId="44" fontId="0" fillId="4" borderId="0" xfId="0" applyNumberFormat="1" applyFill="1" applyAlignment="1">
      <alignment vertical="center" wrapText="1"/>
    </xf>
    <xf numFmtId="14" fontId="5" fillId="4" borderId="6" xfId="0" applyNumberFormat="1" applyFont="1" applyFill="1" applyBorder="1" applyAlignment="1">
      <alignment vertical="center" wrapText="1"/>
    </xf>
    <xf numFmtId="0" fontId="5" fillId="4" borderId="6" xfId="0" applyFont="1" applyFill="1" applyBorder="1" applyAlignment="1">
      <alignment vertical="center" wrapText="1"/>
    </xf>
    <xf numFmtId="44" fontId="5" fillId="4" borderId="6" xfId="0" applyNumberFormat="1" applyFont="1" applyFill="1" applyBorder="1" applyAlignment="1">
      <alignment vertical="center" wrapText="1"/>
    </xf>
    <xf numFmtId="0" fontId="7" fillId="0" borderId="0" xfId="0" applyFont="1" applyAlignment="1">
      <alignment vertical="center"/>
    </xf>
    <xf numFmtId="0" fontId="5" fillId="4" borderId="7" xfId="0" applyFont="1" applyFill="1" applyBorder="1" applyAlignment="1">
      <alignment horizontal="center" vertical="center"/>
    </xf>
    <xf numFmtId="0" fontId="5" fillId="4" borderId="13" xfId="0" applyFont="1" applyFill="1" applyBorder="1" applyAlignment="1">
      <alignment horizontal="right" vertical="center"/>
    </xf>
    <xf numFmtId="0" fontId="5" fillId="4" borderId="3" xfId="0" applyFont="1" applyFill="1" applyBorder="1" applyAlignment="1">
      <alignment horizontal="right" vertical="center"/>
    </xf>
    <xf numFmtId="0" fontId="5" fillId="4" borderId="2" xfId="0" applyFont="1" applyFill="1" applyBorder="1" applyAlignment="1">
      <alignment vertical="center"/>
    </xf>
    <xf numFmtId="164" fontId="0" fillId="0" borderId="9" xfId="0" applyNumberFormat="1" applyBorder="1" applyAlignment="1">
      <alignment vertical="center"/>
    </xf>
    <xf numFmtId="164" fontId="0" fillId="0" borderId="11" xfId="0" applyNumberFormat="1" applyBorder="1" applyAlignment="1">
      <alignment vertical="center"/>
    </xf>
    <xf numFmtId="164" fontId="0" fillId="0" borderId="12" xfId="0" applyNumberFormat="1" applyBorder="1" applyAlignment="1">
      <alignment vertical="center"/>
    </xf>
    <xf numFmtId="0" fontId="9" fillId="0" borderId="0" xfId="0" applyFont="1" applyAlignment="1">
      <alignment vertical="center"/>
    </xf>
    <xf numFmtId="0" fontId="0" fillId="0" borderId="8" xfId="0" applyBorder="1" applyAlignment="1">
      <alignment vertical="center"/>
    </xf>
    <xf numFmtId="0" fontId="0" fillId="3" borderId="14" xfId="0" applyFill="1" applyBorder="1" applyAlignment="1">
      <alignment vertical="center"/>
    </xf>
    <xf numFmtId="0" fontId="0" fillId="3" borderId="17" xfId="0" applyFill="1" applyBorder="1" applyAlignment="1">
      <alignment vertical="center"/>
    </xf>
    <xf numFmtId="0" fontId="0" fillId="0" borderId="10" xfId="0" applyBorder="1" applyAlignment="1">
      <alignment vertical="center"/>
    </xf>
    <xf numFmtId="0" fontId="10" fillId="0" borderId="0" xfId="0" applyFont="1" applyAlignment="1">
      <alignment vertical="center"/>
    </xf>
    <xf numFmtId="0" fontId="0" fillId="5" borderId="4" xfId="0" applyFill="1" applyBorder="1" applyAlignment="1">
      <alignment vertical="center"/>
    </xf>
    <xf numFmtId="164" fontId="0" fillId="0" borderId="0" xfId="0" applyNumberFormat="1" applyAlignment="1">
      <alignment vertical="center"/>
    </xf>
    <xf numFmtId="164" fontId="0" fillId="5" borderId="20" xfId="0" applyNumberFormat="1" applyFill="1" applyBorder="1" applyAlignment="1">
      <alignment horizontal="right" vertical="center"/>
    </xf>
    <xf numFmtId="164" fontId="0" fillId="5" borderId="5" xfId="0" applyNumberFormat="1" applyFill="1" applyBorder="1" applyAlignment="1">
      <alignment horizontal="right" vertical="center"/>
    </xf>
    <xf numFmtId="164" fontId="11" fillId="3" borderId="15" xfId="0" applyNumberFormat="1" applyFont="1" applyFill="1" applyBorder="1" applyAlignment="1">
      <alignment vertical="center"/>
    </xf>
    <xf numFmtId="164" fontId="11" fillId="3" borderId="18" xfId="0" applyNumberFormat="1" applyFont="1" applyFill="1" applyBorder="1" applyAlignment="1">
      <alignment vertical="center"/>
    </xf>
    <xf numFmtId="164" fontId="11" fillId="3" borderId="16" xfId="0" applyNumberFormat="1" applyFont="1" applyFill="1" applyBorder="1" applyAlignment="1">
      <alignment vertical="center"/>
    </xf>
    <xf numFmtId="164" fontId="11" fillId="3" borderId="19" xfId="0" applyNumberFormat="1" applyFont="1" applyFill="1" applyBorder="1" applyAlignment="1">
      <alignment vertical="center"/>
    </xf>
    <xf numFmtId="0" fontId="0" fillId="3" borderId="21" xfId="0" applyFill="1" applyBorder="1" applyAlignment="1">
      <alignment vertical="center"/>
    </xf>
    <xf numFmtId="164" fontId="11" fillId="3" borderId="22" xfId="0" applyNumberFormat="1" applyFont="1" applyFill="1" applyBorder="1" applyAlignment="1">
      <alignment vertical="center"/>
    </xf>
    <xf numFmtId="164" fontId="11" fillId="3" borderId="23" xfId="0" applyNumberFormat="1" applyFont="1" applyFill="1" applyBorder="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4" fontId="0" fillId="0" borderId="0" xfId="0" applyNumberFormat="1"/>
    <xf numFmtId="14" fontId="5" fillId="3" borderId="0" xfId="0" applyNumberFormat="1" applyFont="1" applyFill="1" applyAlignment="1">
      <alignment horizontal="center" vertical="center"/>
    </xf>
    <xf numFmtId="0" fontId="0" fillId="0" borderId="28" xfId="0" applyBorder="1"/>
    <xf numFmtId="0" fontId="0" fillId="0" borderId="29" xfId="0" applyBorder="1"/>
    <xf numFmtId="0" fontId="0" fillId="0" borderId="30" xfId="0" applyBorder="1"/>
    <xf numFmtId="0" fontId="0" fillId="0" borderId="18" xfId="0" applyBorder="1"/>
    <xf numFmtId="0" fontId="0" fillId="0" borderId="31" xfId="0" applyBorder="1"/>
    <xf numFmtId="0" fontId="5" fillId="0" borderId="26" xfId="0" applyFont="1" applyBorder="1" applyAlignment="1">
      <alignment vertical="center"/>
    </xf>
    <xf numFmtId="0" fontId="5" fillId="0" borderId="15" xfId="0" applyFont="1" applyBorder="1" applyAlignment="1">
      <alignment vertical="center"/>
    </xf>
    <xf numFmtId="0" fontId="14" fillId="0" borderId="24" xfId="0" applyFont="1" applyBorder="1" applyAlignment="1">
      <alignment horizontal="center" vertical="center"/>
    </xf>
    <xf numFmtId="0" fontId="15" fillId="0" borderId="0" xfId="0" applyFont="1"/>
    <xf numFmtId="0" fontId="15" fillId="0" borderId="28" xfId="0" applyFont="1" applyBorder="1"/>
    <xf numFmtId="0" fontId="15" fillId="0" borderId="29" xfId="0" applyFont="1" applyBorder="1"/>
    <xf numFmtId="0" fontId="14" fillId="0" borderId="28" xfId="0" applyFont="1" applyBorder="1" applyAlignment="1">
      <alignment horizontal="center" vertical="center"/>
    </xf>
    <xf numFmtId="0" fontId="14" fillId="0" borderId="29" xfId="0" applyFont="1" applyBorder="1" applyAlignment="1">
      <alignment horizontal="center" vertical="center"/>
    </xf>
    <xf numFmtId="6" fontId="18" fillId="0" borderId="32" xfId="0" applyNumberFormat="1" applyFont="1" applyBorder="1" applyAlignment="1">
      <alignment horizontal="center" vertical="center"/>
    </xf>
    <xf numFmtId="3" fontId="19" fillId="0" borderId="28" xfId="0" applyNumberFormat="1" applyFont="1" applyBorder="1" applyAlignment="1">
      <alignment vertical="center"/>
    </xf>
    <xf numFmtId="3" fontId="20" fillId="0" borderId="29" xfId="0" applyNumberFormat="1" applyFont="1" applyBorder="1" applyAlignment="1">
      <alignment vertical="center"/>
    </xf>
    <xf numFmtId="0" fontId="15" fillId="0" borderId="32" xfId="0" applyFont="1" applyBorder="1" applyAlignment="1">
      <alignment vertical="center"/>
    </xf>
    <xf numFmtId="165" fontId="21" fillId="0" borderId="28" xfId="0" applyNumberFormat="1" applyFont="1" applyBorder="1" applyAlignment="1">
      <alignment horizontal="center" vertical="center"/>
    </xf>
    <xf numFmtId="3" fontId="17" fillId="0" borderId="28" xfId="0" applyNumberFormat="1" applyFont="1" applyBorder="1" applyAlignment="1">
      <alignment horizontal="center" vertical="center"/>
    </xf>
    <xf numFmtId="3" fontId="22" fillId="0" borderId="29" xfId="0" applyNumberFormat="1" applyFont="1" applyBorder="1" applyAlignment="1">
      <alignment horizontal="center" vertical="center"/>
    </xf>
    <xf numFmtId="0" fontId="19" fillId="0" borderId="28" xfId="0" applyFont="1" applyBorder="1" applyAlignment="1">
      <alignment vertical="center"/>
    </xf>
    <xf numFmtId="0" fontId="23" fillId="0" borderId="28" xfId="0" applyFont="1" applyBorder="1" applyAlignment="1">
      <alignment horizontal="center" vertical="center"/>
    </xf>
    <xf numFmtId="0" fontId="23" fillId="0" borderId="29" xfId="0" applyFont="1" applyBorder="1" applyAlignment="1">
      <alignment horizontal="center" vertical="center"/>
    </xf>
    <xf numFmtId="0" fontId="15" fillId="0" borderId="30" xfId="0" applyFont="1" applyBorder="1"/>
    <xf numFmtId="0" fontId="15" fillId="0" borderId="18" xfId="0" applyFont="1" applyBorder="1"/>
    <xf numFmtId="0" fontId="15" fillId="0" borderId="31" xfId="0" applyFont="1" applyBorder="1"/>
    <xf numFmtId="0" fontId="23" fillId="0" borderId="30" xfId="0" applyFont="1" applyBorder="1" applyAlignment="1">
      <alignment vertical="center"/>
    </xf>
    <xf numFmtId="0" fontId="23" fillId="0" borderId="31" xfId="0" applyFont="1" applyBorder="1" applyAlignment="1">
      <alignment vertical="center"/>
    </xf>
    <xf numFmtId="0" fontId="15" fillId="0" borderId="25" xfId="0" applyFont="1" applyBorder="1" applyAlignment="1">
      <alignment vertical="center"/>
    </xf>
    <xf numFmtId="0" fontId="14" fillId="0" borderId="15" xfId="0" applyFont="1" applyBorder="1" applyAlignment="1">
      <alignment vertical="center"/>
    </xf>
    <xf numFmtId="0" fontId="15" fillId="0" borderId="0" xfId="0" applyFont="1" applyAlignment="1">
      <alignment vertical="center"/>
    </xf>
    <xf numFmtId="0" fontId="24" fillId="6" borderId="0" xfId="0" applyFont="1" applyFill="1" applyAlignment="1">
      <alignment vertical="center"/>
    </xf>
    <xf numFmtId="0" fontId="24" fillId="0" borderId="0" xfId="0" applyFont="1" applyAlignment="1">
      <alignment vertical="center"/>
    </xf>
    <xf numFmtId="0" fontId="15" fillId="0" borderId="0" xfId="0" applyFont="1" applyAlignment="1">
      <alignment horizontal="right" vertical="center"/>
    </xf>
    <xf numFmtId="0" fontId="24" fillId="7" borderId="0" xfId="0" applyFont="1" applyFill="1" applyAlignment="1">
      <alignment vertical="center"/>
    </xf>
    <xf numFmtId="0" fontId="15" fillId="8" borderId="0" xfId="0" applyFont="1" applyFill="1" applyAlignment="1">
      <alignment vertical="center"/>
    </xf>
    <xf numFmtId="0" fontId="15" fillId="0" borderId="33" xfId="0" applyFont="1" applyBorder="1" applyAlignment="1">
      <alignment horizontal="right" vertical="center"/>
    </xf>
    <xf numFmtId="0" fontId="15" fillId="0" borderId="33" xfId="0" applyFont="1" applyBorder="1" applyAlignment="1">
      <alignment horizontal="right" vertical="center" wrapText="1"/>
    </xf>
    <xf numFmtId="0" fontId="15" fillId="8" borderId="33" xfId="0" applyFont="1" applyFill="1" applyBorder="1" applyAlignment="1">
      <alignment horizontal="left" vertical="center"/>
    </xf>
    <xf numFmtId="0" fontId="15" fillId="0" borderId="34" xfId="0" applyFont="1" applyBorder="1" applyAlignment="1">
      <alignment vertical="center"/>
    </xf>
    <xf numFmtId="43" fontId="15" fillId="7" borderId="34" xfId="1" applyFont="1" applyFill="1" applyBorder="1" applyAlignment="1">
      <alignment horizontal="right" vertical="center"/>
    </xf>
    <xf numFmtId="0" fontId="15" fillId="0" borderId="34" xfId="0" applyFont="1" applyBorder="1" applyAlignment="1">
      <alignment horizontal="right" vertical="center"/>
    </xf>
    <xf numFmtId="43" fontId="15" fillId="7" borderId="0" xfId="1" applyFont="1" applyFill="1" applyBorder="1" applyAlignment="1">
      <alignment horizontal="right" vertical="center"/>
    </xf>
    <xf numFmtId="43" fontId="15" fillId="7" borderId="34" xfId="1" applyFont="1" applyFill="1" applyBorder="1" applyAlignment="1">
      <alignment vertical="center"/>
    </xf>
    <xf numFmtId="43" fontId="15" fillId="7" borderId="0" xfId="1" applyFont="1" applyFill="1" applyBorder="1" applyAlignment="1">
      <alignment vertical="center"/>
    </xf>
    <xf numFmtId="0" fontId="15" fillId="0" borderId="35" xfId="0" applyFont="1" applyBorder="1" applyAlignment="1">
      <alignment vertical="center"/>
    </xf>
    <xf numFmtId="43" fontId="25" fillId="7" borderId="35" xfId="1" applyFont="1" applyFill="1" applyBorder="1" applyAlignment="1">
      <alignment vertical="center"/>
    </xf>
    <xf numFmtId="0" fontId="24" fillId="0" borderId="34" xfId="0" applyFont="1" applyBorder="1" applyAlignment="1">
      <alignment vertical="center"/>
    </xf>
    <xf numFmtId="0" fontId="24" fillId="0" borderId="35" xfId="0" applyFont="1" applyBorder="1" applyAlignment="1">
      <alignment vertical="center"/>
    </xf>
    <xf numFmtId="43" fontId="15" fillId="7" borderId="35" xfId="1" applyFont="1" applyFill="1" applyBorder="1" applyAlignment="1">
      <alignment vertical="center"/>
    </xf>
    <xf numFmtId="43" fontId="15" fillId="7" borderId="35" xfId="1" applyFont="1" applyFill="1" applyBorder="1" applyAlignment="1">
      <alignment horizontal="right" vertical="center"/>
    </xf>
    <xf numFmtId="0" fontId="15" fillId="0" borderId="35" xfId="0" applyFont="1" applyBorder="1" applyAlignment="1">
      <alignment horizontal="right" vertical="center"/>
    </xf>
    <xf numFmtId="14" fontId="15" fillId="0" borderId="0" xfId="0" applyNumberFormat="1" applyFont="1" applyAlignment="1">
      <alignment vertical="center"/>
    </xf>
    <xf numFmtId="0" fontId="15" fillId="7" borderId="33" xfId="0" applyFont="1" applyFill="1" applyBorder="1" applyAlignment="1">
      <alignment vertical="center"/>
    </xf>
    <xf numFmtId="43" fontId="15" fillId="7" borderId="33" xfId="1" applyFont="1" applyFill="1" applyBorder="1" applyAlignment="1">
      <alignment horizontal="right" vertical="center"/>
    </xf>
    <xf numFmtId="3" fontId="15" fillId="7" borderId="33" xfId="0" applyNumberFormat="1" applyFont="1" applyFill="1" applyBorder="1" applyAlignment="1">
      <alignment vertical="center"/>
    </xf>
    <xf numFmtId="1" fontId="15" fillId="0" borderId="0" xfId="0" applyNumberFormat="1" applyFont="1" applyAlignment="1">
      <alignment vertical="center"/>
    </xf>
    <xf numFmtId="14" fontId="15" fillId="0" borderId="34" xfId="0" applyNumberFormat="1" applyFont="1" applyBorder="1" applyAlignment="1">
      <alignment horizontal="right" vertical="center"/>
    </xf>
    <xf numFmtId="0" fontId="15" fillId="8" borderId="33" xfId="0" applyFont="1" applyFill="1" applyBorder="1" applyAlignment="1">
      <alignment horizontal="right" vertical="center" wrapText="1"/>
    </xf>
    <xf numFmtId="166" fontId="15" fillId="7" borderId="36" xfId="0" applyNumberFormat="1" applyFont="1" applyFill="1" applyBorder="1" applyAlignment="1">
      <alignment horizontal="right" vertical="center"/>
    </xf>
    <xf numFmtId="6" fontId="26" fillId="7" borderId="36" xfId="0" applyNumberFormat="1" applyFont="1" applyFill="1" applyBorder="1" applyAlignment="1">
      <alignment horizontal="right" vertical="center"/>
    </xf>
    <xf numFmtId="0" fontId="13" fillId="3" borderId="0" xfId="0" applyFont="1" applyFill="1" applyAlignment="1">
      <alignment horizontal="right" vertical="center"/>
    </xf>
    <xf numFmtId="167" fontId="0" fillId="0" borderId="0" xfId="0" applyNumberFormat="1"/>
    <xf numFmtId="166" fontId="16" fillId="0" borderId="25" xfId="0" applyNumberFormat="1" applyFont="1" applyBorder="1" applyAlignment="1">
      <alignment horizontal="center" vertical="center"/>
    </xf>
    <xf numFmtId="166" fontId="17" fillId="0" borderId="25" xfId="0" applyNumberFormat="1" applyFont="1" applyBorder="1" applyAlignment="1">
      <alignment horizontal="center" vertical="center"/>
    </xf>
    <xf numFmtId="166" fontId="27" fillId="0" borderId="25" xfId="0" applyNumberFormat="1" applyFont="1" applyBorder="1" applyAlignment="1">
      <alignment horizontal="center" vertical="center"/>
    </xf>
    <xf numFmtId="0" fontId="15" fillId="0" borderId="25" xfId="0" quotePrefix="1" applyFont="1" applyBorder="1"/>
    <xf numFmtId="166" fontId="22" fillId="0" borderId="29" xfId="0" applyNumberFormat="1" applyFont="1" applyBorder="1" applyAlignment="1">
      <alignment horizontal="center" vertical="center"/>
    </xf>
    <xf numFmtId="1" fontId="0" fillId="0" borderId="0" xfId="0" applyNumberFormat="1"/>
    <xf numFmtId="0" fontId="15" fillId="7" borderId="36" xfId="0" applyFont="1" applyFill="1" applyBorder="1" applyAlignment="1">
      <alignment horizontal="right" vertical="center"/>
    </xf>
    <xf numFmtId="0" fontId="14" fillId="3" borderId="32" xfId="0" applyFont="1" applyFill="1" applyBorder="1" applyAlignment="1" applyProtection="1">
      <alignment horizontal="center" vertical="center"/>
      <protection locked="0"/>
    </xf>
    <xf numFmtId="166" fontId="28" fillId="0" borderId="32" xfId="0" applyNumberFormat="1" applyFont="1" applyBorder="1" applyAlignment="1">
      <alignment horizontal="center" vertical="center"/>
    </xf>
    <xf numFmtId="14" fontId="13" fillId="3" borderId="0" xfId="0" applyNumberFormat="1" applyFont="1" applyFill="1" applyAlignment="1">
      <alignment vertical="center"/>
    </xf>
    <xf numFmtId="14" fontId="15" fillId="8" borderId="0" xfId="0" applyNumberFormat="1" applyFont="1" applyFill="1" applyAlignment="1">
      <alignment vertical="center"/>
    </xf>
    <xf numFmtId="0" fontId="2" fillId="3" borderId="0" xfId="0" applyFont="1" applyFill="1" applyProtection="1">
      <protection locked="0"/>
    </xf>
    <xf numFmtId="0" fontId="0" fillId="3" borderId="0" xfId="0" applyFill="1" applyProtection="1">
      <protection locked="0"/>
    </xf>
    <xf numFmtId="0" fontId="5" fillId="4" borderId="1" xfId="0" applyFont="1" applyFill="1" applyBorder="1" applyAlignment="1" applyProtection="1">
      <alignment horizontal="center" vertical="center"/>
      <protection locked="0"/>
    </xf>
    <xf numFmtId="0" fontId="0" fillId="4" borderId="0" xfId="0" applyFill="1" applyProtection="1">
      <protection locked="0"/>
    </xf>
    <xf numFmtId="0" fontId="0" fillId="0" borderId="0" xfId="0" applyProtection="1">
      <protection locked="0"/>
    </xf>
    <xf numFmtId="0" fontId="6" fillId="5" borderId="7" xfId="0" applyFont="1" applyFill="1" applyBorder="1" applyAlignment="1" applyProtection="1">
      <alignment horizontal="center" vertical="center"/>
      <protection locked="0"/>
    </xf>
    <xf numFmtId="0" fontId="5" fillId="3" borderId="27" xfId="0" applyFont="1" applyFill="1" applyBorder="1" applyAlignment="1" applyProtection="1">
      <alignment horizontal="center" vertical="center"/>
      <protection locked="0"/>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4" fillId="2" borderId="0" xfId="0" applyFont="1" applyFill="1" applyAlignment="1">
      <alignment horizontal="right" vertical="top" wrapText="1"/>
    </xf>
    <xf numFmtId="0" fontId="15" fillId="0" borderId="24" xfId="0" applyFont="1" applyBorder="1" applyAlignment="1">
      <alignment horizontal="center"/>
    </xf>
    <xf numFmtId="0" fontId="15" fillId="0" borderId="25" xfId="0" applyFont="1" applyBorder="1" applyAlignment="1">
      <alignment horizontal="center"/>
    </xf>
    <xf numFmtId="0" fontId="14" fillId="0" borderId="26" xfId="0" applyFont="1" applyBorder="1" applyAlignment="1">
      <alignment horizontal="center" vertical="center"/>
    </xf>
    <xf numFmtId="0" fontId="14" fillId="0" borderId="15" xfId="0" applyFont="1" applyBorder="1" applyAlignment="1">
      <alignment horizontal="center" vertical="center"/>
    </xf>
    <xf numFmtId="0" fontId="14" fillId="0" borderId="27" xfId="0" applyFont="1" applyBorder="1" applyAlignment="1">
      <alignment horizontal="center" vertical="center"/>
    </xf>
  </cellXfs>
  <cellStyles count="2">
    <cellStyle name="Comma" xfId="1" builtinId="3"/>
    <cellStyle name="Normal" xfId="0" builtinId="0"/>
  </cellStyles>
  <dxfs count="40">
    <dxf>
      <font>
        <b/>
        <i val="0"/>
        <color rgb="FFFF0000"/>
      </font>
    </dxf>
    <dxf>
      <font>
        <b/>
        <i val="0"/>
        <color rgb="FFFF0000"/>
      </font>
    </dxf>
    <dxf>
      <font>
        <b/>
        <i val="0"/>
        <color rgb="FFFF0000"/>
      </font>
    </dxf>
    <dxf>
      <font>
        <b/>
        <i val="0"/>
        <color rgb="FFFF0000"/>
      </font>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R$&quot;\ * #,##0.00_-;\-&quot;R$&quot;\ * #,##0.00_-;_-&quot;R$&quot;\ * &quot;-&quot;??_-;_-@_-"/>
    </dxf>
    <dxf>
      <numFmt numFmtId="167" formatCode="_-&quot;R$&quot;* #,##0.00_-;\-&quot;R$&quot;* #,##0.00_-;_-&quot;R$&quot;* &quot;-&quot;??_-;_-@_-"/>
    </dxf>
    <dxf>
      <numFmt numFmtId="19" formatCode="dd/mm/yyyy"/>
    </dxf>
    <dxf>
      <numFmt numFmtId="19" formatCode="dd/mm/yyyy"/>
    </dxf>
    <dxf>
      <numFmt numFmtId="19" formatCode="dd/mm/yyyy"/>
    </dxf>
    <dxf>
      <border outline="0">
        <top style="thin">
          <color theme="1"/>
        </top>
      </border>
    </dxf>
    <dxf>
      <border outline="0">
        <bottom style="medium">
          <color theme="1"/>
        </bottom>
      </border>
    </dxf>
    <dxf>
      <font>
        <b/>
        <i val="0"/>
        <strike val="0"/>
        <condense val="0"/>
        <extend val="0"/>
        <outline val="0"/>
        <shadow val="0"/>
        <u val="none"/>
        <vertAlign val="baseline"/>
        <sz val="11"/>
        <color theme="1"/>
        <name val="Aptos Narrow"/>
        <family val="2"/>
        <scheme val="minor"/>
      </font>
      <fill>
        <patternFill patternType="solid">
          <fgColor indexed="64"/>
          <bgColor theme="2" tint="-0.249977111117893"/>
        </patternFill>
      </fill>
      <alignment horizontal="general"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_-&quot;R$&quot;* #,##0.00_-;\-&quot;R$&quot;* #,##0.00_-;_-&quot;R$&quot;* &quot;-&quot;??_-;_-@_-"/>
    </dxf>
    <dxf>
      <numFmt numFmtId="19" formatCode="dd/mm/yyyy"/>
    </dxf>
    <dxf>
      <numFmt numFmtId="19" formatCode="dd/mm/yyyy"/>
    </dxf>
    <dxf>
      <numFmt numFmtId="19" formatCode="dd/mm/yyyy"/>
    </dxf>
    <dxf>
      <fill>
        <patternFill patternType="solid">
          <fgColor indexed="64"/>
          <bgColor theme="2" tint="-0.249977111117893"/>
        </patternFill>
      </fill>
      <alignment horizontal="general" vertical="center" textRotation="0" wrapText="1" indent="0" justifyLastLine="0" shrinkToFit="0" readingOrder="0"/>
    </dxf>
    <dxf>
      <border outline="0">
        <top style="thin">
          <color indexed="64"/>
        </top>
      </border>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protection locked="0" hidden="0"/>
    </dxf>
    <dxf>
      <protection locked="0" hidden="0"/>
    </dxf>
    <dxf>
      <fill>
        <patternFill patternType="solid">
          <fgColor indexed="64"/>
          <bgColor theme="2" tint="-0.249977111117893"/>
        </patternFill>
      </fill>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07/relationships/slicerCache" Target="slicerCaches/slicerCache7.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DashBoardFinanceiroAnualD!$L$5:$L$16</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DashBoardFinanceiroAtualD!$K$5:$K$16</c:f>
              <c:numCache>
                <c:formatCode>_(* #,##0.00_);_(* \(#,##0.00\);_(* "-"??_);_(@_)</c:formatCode>
                <c:ptCount val="12"/>
                <c:pt idx="0">
                  <c:v>8581</c:v>
                </c:pt>
                <c:pt idx="1">
                  <c:v>12958</c:v>
                </c:pt>
                <c:pt idx="2">
                  <c:v>3172</c:v>
                </c:pt>
                <c:pt idx="3">
                  <c:v>10644</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0-7A49-4E59-A1A4-E4B3B39A6F70}"/>
            </c:ext>
          </c:extLst>
        </c:ser>
        <c:dLbls>
          <c:dLblPos val="t"/>
          <c:showLegendKey val="0"/>
          <c:showVal val="1"/>
          <c:showCatName val="0"/>
          <c:showSerName val="0"/>
          <c:showPercent val="0"/>
          <c:showBubbleSize val="0"/>
        </c:dLbls>
        <c:smooth val="0"/>
        <c:axId val="515838224"/>
        <c:axId val="129188456"/>
      </c:lineChart>
      <c:catAx>
        <c:axId val="51583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88456"/>
        <c:crosses val="autoZero"/>
        <c:auto val="1"/>
        <c:lblAlgn val="ctr"/>
        <c:lblOffset val="100"/>
        <c:noMultiLvlLbl val="0"/>
      </c:catAx>
      <c:valAx>
        <c:axId val="129188456"/>
        <c:scaling>
          <c:orientation val="minMax"/>
        </c:scaling>
        <c:delete val="1"/>
        <c:axPos val="l"/>
        <c:numFmt formatCode="_(* #,##0.00_);_(* \(#,##0.00\);_(* &quot;-&quot;??_);_(@_)" sourceLinked="1"/>
        <c:majorTickMark val="none"/>
        <c:minorTickMark val="none"/>
        <c:tickLblPos val="nextTo"/>
        <c:crossAx val="515838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2672453662288"/>
          <c:y val="5.3240740740740741E-2"/>
          <c:w val="0.42979650093137906"/>
          <c:h val="0.9282407407407407"/>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AD03-464D-9C4E-03E6612DF534}"/>
              </c:ext>
            </c:extLst>
          </c:dPt>
          <c:dPt>
            <c:idx val="1"/>
            <c:bubble3D val="0"/>
            <c:spPr>
              <a:solidFill>
                <a:schemeClr val="accent2"/>
              </a:solidFill>
              <a:ln w="19050">
                <a:noFill/>
              </a:ln>
              <a:effectLst/>
            </c:spPr>
            <c:extLst>
              <c:ext xmlns:c16="http://schemas.microsoft.com/office/drawing/2014/chart" uri="{C3380CC4-5D6E-409C-BE32-E72D297353CC}">
                <c16:uniqueId val="{00000003-AD03-464D-9C4E-03E6612DF53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DashBoardFinanceiroAnualD!$C$20:$D$20</c:f>
              <c:strCache>
                <c:ptCount val="2"/>
                <c:pt idx="0">
                  <c:v>À Vista</c:v>
                </c:pt>
                <c:pt idx="1">
                  <c:v>A Prazo</c:v>
                </c:pt>
              </c:strCache>
            </c:strRef>
          </c:cat>
          <c:val>
            <c:numRef>
              <c:f>DashBoardFinanceiroAtualD!$C$21:$D$21</c:f>
              <c:numCache>
                <c:formatCode>_(* #,##0.00_);_(* \(#,##0.00\);_(* "-"??_);_(@_)</c:formatCode>
                <c:ptCount val="2"/>
                <c:pt idx="0">
                  <c:v>38162</c:v>
                </c:pt>
                <c:pt idx="1">
                  <c:v>58030</c:v>
                </c:pt>
              </c:numCache>
            </c:numRef>
          </c:val>
          <c:extLst>
            <c:ext xmlns:c16="http://schemas.microsoft.com/office/drawing/2014/chart" uri="{C3380CC4-5D6E-409C-BE32-E72D297353CC}">
              <c16:uniqueId val="{00000004-AD03-464D-9C4E-03E6612DF534}"/>
            </c:ext>
          </c:extLst>
        </c:ser>
        <c:dLbls>
          <c:showLegendKey val="0"/>
          <c:showVal val="0"/>
          <c:showCatName val="0"/>
          <c:showSerName val="0"/>
          <c:showPercent val="0"/>
          <c:showBubbleSize val="0"/>
          <c:showLeaderLines val="0"/>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8140-4B78-A60A-141119C63EB2}"/>
              </c:ext>
            </c:extLst>
          </c:dPt>
          <c:dPt>
            <c:idx val="1"/>
            <c:invertIfNegative val="0"/>
            <c:bubble3D val="0"/>
            <c:spPr>
              <a:solidFill>
                <a:srgbClr val="FF0000"/>
              </a:solidFill>
              <a:ln>
                <a:noFill/>
              </a:ln>
              <a:effectLst/>
            </c:spPr>
            <c:extLst>
              <c:ext xmlns:c16="http://schemas.microsoft.com/office/drawing/2014/chart" uri="{C3380CC4-5D6E-409C-BE32-E72D297353CC}">
                <c16:uniqueId val="{00000003-8140-4B78-A60A-141119C63EB2}"/>
              </c:ext>
            </c:extLst>
          </c:dPt>
          <c:dLbls>
            <c:dLbl>
              <c:idx val="0"/>
              <c:layout>
                <c:manualLayout>
                  <c:x val="3.5650623885918001E-3"/>
                  <c:y val="0.37575757575757573"/>
                </c:manualLayout>
              </c:layout>
              <c:tx>
                <c:rich>
                  <a:bodyPr/>
                  <a:lstStyle/>
                  <a:p>
                    <a:fld id="{955C34B2-EAFA-4BE8-9DE4-12649AEAD2A8}"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manualLayout>
                      <c:w val="0.28263814616755795"/>
                      <c:h val="0.30266666666666664"/>
                    </c:manualLayout>
                  </c15:layout>
                  <c15:dlblFieldTable/>
                  <c15:showDataLabelsRange val="0"/>
                </c:ext>
                <c:ext xmlns:c16="http://schemas.microsoft.com/office/drawing/2014/chart" uri="{C3380CC4-5D6E-409C-BE32-E72D297353CC}">
                  <c16:uniqueId val="{00000001-8140-4B78-A60A-141119C63EB2}"/>
                </c:ext>
              </c:extLst>
            </c:dLbl>
            <c:dLbl>
              <c:idx val="1"/>
              <c:tx>
                <c:rich>
                  <a:bodyPr/>
                  <a:lstStyle/>
                  <a:p>
                    <a:fld id="{BA4377DF-1DAA-492F-AD80-D40C08C39016}"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layout>
                    <c:manualLayout>
                      <c:w val="0.26837789661319073"/>
                      <c:h val="0.30266666666666664"/>
                    </c:manualLayout>
                  </c15:layout>
                  <c15:dlblFieldTable/>
                  <c15:showDataLabelsRange val="0"/>
                </c:ext>
                <c:ext xmlns:c16="http://schemas.microsoft.com/office/drawing/2014/chart" uri="{C3380CC4-5D6E-409C-BE32-E72D297353CC}">
                  <c16:uniqueId val="{00000003-8140-4B78-A60A-141119C63EB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DashBoardFinanceiroAnualD!$C$30:$D$30</c:f>
              <c:strCache>
                <c:ptCount val="2"/>
                <c:pt idx="0">
                  <c:v>Entradas</c:v>
                </c:pt>
                <c:pt idx="1">
                  <c:v>Saídas</c:v>
                </c:pt>
              </c:strCache>
            </c:strRef>
          </c:cat>
          <c:val>
            <c:numRef>
              <c:f>DashBoardFinanceiroAtualD!$C$31:$D$31</c:f>
              <c:numCache>
                <c:formatCode>"R$"\ #,##0</c:formatCode>
                <c:ptCount val="2"/>
                <c:pt idx="0">
                  <c:v>96192</c:v>
                </c:pt>
                <c:pt idx="1">
                  <c:v>115511</c:v>
                </c:pt>
              </c:numCache>
            </c:numRef>
          </c:val>
          <c:extLst>
            <c:ext xmlns:c16="http://schemas.microsoft.com/office/drawing/2014/chart" uri="{C3380CC4-5D6E-409C-BE32-E72D297353CC}">
              <c16:uniqueId val="{00000004-8140-4B78-A60A-141119C63EB2}"/>
            </c:ext>
          </c:extLst>
        </c:ser>
        <c:dLbls>
          <c:dLblPos val="ctr"/>
          <c:showLegendKey val="0"/>
          <c:showVal val="1"/>
          <c:showCatName val="0"/>
          <c:showSerName val="0"/>
          <c:showPercent val="0"/>
          <c:showBubbleSize val="0"/>
        </c:dLbls>
        <c:gapWidth val="10"/>
        <c:overlap val="15"/>
        <c:axId val="519224176"/>
        <c:axId val="519225256"/>
      </c:barChart>
      <c:catAx>
        <c:axId val="51922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25256"/>
        <c:crosses val="autoZero"/>
        <c:auto val="1"/>
        <c:lblAlgn val="ctr"/>
        <c:lblOffset val="100"/>
        <c:noMultiLvlLbl val="0"/>
      </c:catAx>
      <c:valAx>
        <c:axId val="519225256"/>
        <c:scaling>
          <c:orientation val="minMax"/>
        </c:scaling>
        <c:delete val="1"/>
        <c:axPos val="l"/>
        <c:numFmt formatCode="&quot;R$&quot;\ #,##0" sourceLinked="1"/>
        <c:majorTickMark val="none"/>
        <c:minorTickMark val="none"/>
        <c:tickLblPos val="nextTo"/>
        <c:crossAx val="519224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FC000"/>
            </a:solidFill>
            <a:ln>
              <a:noFill/>
            </a:ln>
            <a:effectLst/>
          </c:spPr>
          <c:invertIfNegative val="0"/>
          <c:val>
            <c:numRef>
              <c:f>DashBoardFinanceiroAtualD!$H$31:$H$42</c:f>
              <c:numCache>
                <c:formatCode>_(* #,##0.00_);_(* \(#,##0.00\);_(* "-"??_);_(@_)</c:formatCode>
                <c:ptCount val="12"/>
                <c:pt idx="0">
                  <c:v>14690</c:v>
                </c:pt>
                <c:pt idx="1">
                  <c:v>6991</c:v>
                </c:pt>
                <c:pt idx="2">
                  <c:v>8219</c:v>
                </c:pt>
                <c:pt idx="3">
                  <c:v>19692</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7C21-4B48-8F02-1458011372A4}"/>
            </c:ext>
          </c:extLst>
        </c:ser>
        <c:dLbls>
          <c:showLegendKey val="0"/>
          <c:showVal val="0"/>
          <c:showCatName val="0"/>
          <c:showSerName val="0"/>
          <c:showPercent val="0"/>
          <c:showBubbleSize val="0"/>
        </c:dLbls>
        <c:gapWidth val="10"/>
        <c:overlap val="-5"/>
        <c:axId val="666825968"/>
        <c:axId val="666831368"/>
      </c:barChart>
      <c:catAx>
        <c:axId val="6668259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31368"/>
        <c:crosses val="autoZero"/>
        <c:auto val="1"/>
        <c:lblAlgn val="ctr"/>
        <c:lblOffset val="100"/>
        <c:noMultiLvlLbl val="0"/>
      </c:catAx>
      <c:valAx>
        <c:axId val="666831368"/>
        <c:scaling>
          <c:orientation val="minMax"/>
        </c:scaling>
        <c:delete val="1"/>
        <c:axPos val="l"/>
        <c:numFmt formatCode="_(* #,##0.00_);_(* \(#,##0.00\);_(* &quot;-&quot;??_);_(@_)" sourceLinked="1"/>
        <c:majorTickMark val="none"/>
        <c:minorTickMark val="none"/>
        <c:tickLblPos val="nextTo"/>
        <c:crossAx val="66682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DashBoardFinanceiroAnualD!$L$5:$L$16</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DashBoardFinanceiroAnualD!$K$5:$K$16</c:f>
              <c:numCache>
                <c:formatCode>_(* #,##0.00_);_(* \(#,##0.00\);_(* "-"??_);_(@_)</c:formatCode>
                <c:ptCount val="12"/>
                <c:pt idx="0">
                  <c:v>6759</c:v>
                </c:pt>
                <c:pt idx="1">
                  <c:v>8187</c:v>
                </c:pt>
                <c:pt idx="2">
                  <c:v>5918</c:v>
                </c:pt>
                <c:pt idx="3">
                  <c:v>1620</c:v>
                </c:pt>
                <c:pt idx="4">
                  <c:v>2194</c:v>
                </c:pt>
                <c:pt idx="5">
                  <c:v>1482</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0-004C-4897-8711-7347D9FCA8E1}"/>
            </c:ext>
          </c:extLst>
        </c:ser>
        <c:dLbls>
          <c:dLblPos val="t"/>
          <c:showLegendKey val="0"/>
          <c:showVal val="1"/>
          <c:showCatName val="0"/>
          <c:showSerName val="0"/>
          <c:showPercent val="0"/>
          <c:showBubbleSize val="0"/>
        </c:dLbls>
        <c:smooth val="0"/>
        <c:axId val="515838224"/>
        <c:axId val="129188456"/>
      </c:lineChart>
      <c:catAx>
        <c:axId val="51583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88456"/>
        <c:crosses val="autoZero"/>
        <c:auto val="1"/>
        <c:lblAlgn val="ctr"/>
        <c:lblOffset val="100"/>
        <c:noMultiLvlLbl val="0"/>
      </c:catAx>
      <c:valAx>
        <c:axId val="129188456"/>
        <c:scaling>
          <c:orientation val="minMax"/>
        </c:scaling>
        <c:delete val="1"/>
        <c:axPos val="l"/>
        <c:numFmt formatCode="_(* #,##0.00_);_(* \(#,##0.00\);_(* &quot;-&quot;??_);_(@_)" sourceLinked="1"/>
        <c:majorTickMark val="none"/>
        <c:minorTickMark val="none"/>
        <c:tickLblPos val="nextTo"/>
        <c:crossAx val="515838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2672453662288"/>
          <c:y val="5.3240740740740741E-2"/>
          <c:w val="0.42979650093137906"/>
          <c:h val="0.9282407407407407"/>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88D0-41F6-8038-98452F1924C7}"/>
              </c:ext>
            </c:extLst>
          </c:dPt>
          <c:dPt>
            <c:idx val="1"/>
            <c:bubble3D val="0"/>
            <c:spPr>
              <a:solidFill>
                <a:schemeClr val="accent2"/>
              </a:solidFill>
              <a:ln w="19050">
                <a:noFill/>
              </a:ln>
              <a:effectLst/>
            </c:spPr>
            <c:extLst>
              <c:ext xmlns:c16="http://schemas.microsoft.com/office/drawing/2014/chart" uri="{C3380CC4-5D6E-409C-BE32-E72D297353CC}">
                <c16:uniqueId val="{00000003-88D0-41F6-8038-98452F1924C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DashBoardFinanceiroAnualD!$C$20:$D$20</c:f>
              <c:strCache>
                <c:ptCount val="2"/>
                <c:pt idx="0">
                  <c:v>À Vista</c:v>
                </c:pt>
                <c:pt idx="1">
                  <c:v>A Prazo</c:v>
                </c:pt>
              </c:strCache>
            </c:strRef>
          </c:cat>
          <c:val>
            <c:numRef>
              <c:f>DashBoardFinanceiroAnualD!$C$21:$D$21</c:f>
              <c:numCache>
                <c:formatCode>_(* #,##0.00_);_(* \(#,##0.00\);_(* "-"??_);_(@_)</c:formatCode>
                <c:ptCount val="2"/>
                <c:pt idx="0">
                  <c:v>43768</c:v>
                </c:pt>
                <c:pt idx="1">
                  <c:v>86891</c:v>
                </c:pt>
              </c:numCache>
            </c:numRef>
          </c:val>
          <c:extLst>
            <c:ext xmlns:c16="http://schemas.microsoft.com/office/drawing/2014/chart" uri="{C3380CC4-5D6E-409C-BE32-E72D297353CC}">
              <c16:uniqueId val="{00000004-88D0-41F6-8038-98452F1924C7}"/>
            </c:ext>
          </c:extLst>
        </c:ser>
        <c:dLbls>
          <c:showLegendKey val="0"/>
          <c:showVal val="0"/>
          <c:showCatName val="0"/>
          <c:showSerName val="0"/>
          <c:showPercent val="0"/>
          <c:showBubbleSize val="0"/>
          <c:showLeaderLines val="0"/>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2-4348-4EAC-9808-537EA3BC3CC4}"/>
              </c:ext>
            </c:extLst>
          </c:dPt>
          <c:dPt>
            <c:idx val="1"/>
            <c:invertIfNegative val="0"/>
            <c:bubble3D val="0"/>
            <c:spPr>
              <a:solidFill>
                <a:srgbClr val="FF0000"/>
              </a:solidFill>
              <a:ln>
                <a:noFill/>
              </a:ln>
              <a:effectLst/>
            </c:spPr>
            <c:extLst>
              <c:ext xmlns:c16="http://schemas.microsoft.com/office/drawing/2014/chart" uri="{C3380CC4-5D6E-409C-BE32-E72D297353CC}">
                <c16:uniqueId val="{00000001-4348-4EAC-9808-537EA3BC3CC4}"/>
              </c:ext>
            </c:extLst>
          </c:dPt>
          <c:dLbls>
            <c:dLbl>
              <c:idx val="0"/>
              <c:layout>
                <c:manualLayout>
                  <c:x val="3.5650623885918001E-3"/>
                  <c:y val="0.37575757575757573"/>
                </c:manualLayout>
              </c:layout>
              <c:tx>
                <c:rich>
                  <a:bodyPr/>
                  <a:lstStyle/>
                  <a:p>
                    <a:fld id="{955C34B2-EAFA-4BE8-9DE4-12649AEAD2A8}"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manualLayout>
                      <c:w val="0.28263814616755795"/>
                      <c:h val="0.30266666666666664"/>
                    </c:manualLayout>
                  </c15:layout>
                  <c15:dlblFieldTable/>
                  <c15:showDataLabelsRange val="0"/>
                </c:ext>
                <c:ext xmlns:c16="http://schemas.microsoft.com/office/drawing/2014/chart" uri="{C3380CC4-5D6E-409C-BE32-E72D297353CC}">
                  <c16:uniqueId val="{00000002-4348-4EAC-9808-537EA3BC3CC4}"/>
                </c:ext>
              </c:extLst>
            </c:dLbl>
            <c:dLbl>
              <c:idx val="1"/>
              <c:tx>
                <c:rich>
                  <a:bodyPr/>
                  <a:lstStyle/>
                  <a:p>
                    <a:fld id="{BA4377DF-1DAA-492F-AD80-D40C08C39016}"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layout>
                    <c:manualLayout>
                      <c:w val="0.26837789661319073"/>
                      <c:h val="0.30266666666666664"/>
                    </c:manualLayout>
                  </c15:layout>
                  <c15:dlblFieldTable/>
                  <c15:showDataLabelsRange val="0"/>
                </c:ext>
                <c:ext xmlns:c16="http://schemas.microsoft.com/office/drawing/2014/chart" uri="{C3380CC4-5D6E-409C-BE32-E72D297353CC}">
                  <c16:uniqueId val="{00000001-4348-4EAC-9808-537EA3BC3CC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DashBoardFinanceiroAnualD!$C$30:$D$30</c:f>
              <c:strCache>
                <c:ptCount val="2"/>
                <c:pt idx="0">
                  <c:v>Entradas</c:v>
                </c:pt>
                <c:pt idx="1">
                  <c:v>Saídas</c:v>
                </c:pt>
              </c:strCache>
            </c:strRef>
          </c:cat>
          <c:val>
            <c:numRef>
              <c:f>DashBoardFinanceiroAnualD!$C$31:$D$31</c:f>
              <c:numCache>
                <c:formatCode>"R$"\ #,##0</c:formatCode>
                <c:ptCount val="2"/>
                <c:pt idx="0">
                  <c:v>130659</c:v>
                </c:pt>
                <c:pt idx="1">
                  <c:v>169790</c:v>
                </c:pt>
              </c:numCache>
            </c:numRef>
          </c:val>
          <c:extLst>
            <c:ext xmlns:c16="http://schemas.microsoft.com/office/drawing/2014/chart" uri="{C3380CC4-5D6E-409C-BE32-E72D297353CC}">
              <c16:uniqueId val="{00000000-4348-4EAC-9808-537EA3BC3CC4}"/>
            </c:ext>
          </c:extLst>
        </c:ser>
        <c:dLbls>
          <c:dLblPos val="ctr"/>
          <c:showLegendKey val="0"/>
          <c:showVal val="1"/>
          <c:showCatName val="0"/>
          <c:showSerName val="0"/>
          <c:showPercent val="0"/>
          <c:showBubbleSize val="0"/>
        </c:dLbls>
        <c:gapWidth val="10"/>
        <c:overlap val="15"/>
        <c:axId val="519224176"/>
        <c:axId val="519225256"/>
      </c:barChart>
      <c:catAx>
        <c:axId val="51922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25256"/>
        <c:crosses val="autoZero"/>
        <c:auto val="1"/>
        <c:lblAlgn val="ctr"/>
        <c:lblOffset val="100"/>
        <c:noMultiLvlLbl val="0"/>
      </c:catAx>
      <c:valAx>
        <c:axId val="519225256"/>
        <c:scaling>
          <c:orientation val="minMax"/>
        </c:scaling>
        <c:delete val="1"/>
        <c:axPos val="l"/>
        <c:numFmt formatCode="&quot;R$&quot;\ #,##0" sourceLinked="1"/>
        <c:majorTickMark val="none"/>
        <c:minorTickMark val="none"/>
        <c:tickLblPos val="nextTo"/>
        <c:crossAx val="519224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FC000"/>
            </a:solidFill>
            <a:ln>
              <a:noFill/>
            </a:ln>
            <a:effectLst/>
          </c:spPr>
          <c:invertIfNegative val="0"/>
          <c:val>
            <c:numRef>
              <c:f>DashBoardFinanceiroAnualD!$H$31:$H$42</c:f>
              <c:numCache>
                <c:formatCode>_(* #,##0.00_);_(* \(#,##0.00\);_(* "-"??_);_(@_)</c:formatCode>
                <c:ptCount val="12"/>
                <c:pt idx="0">
                  <c:v>14690</c:v>
                </c:pt>
                <c:pt idx="1">
                  <c:v>6991</c:v>
                </c:pt>
                <c:pt idx="2">
                  <c:v>8219</c:v>
                </c:pt>
                <c:pt idx="3">
                  <c:v>19692</c:v>
                </c:pt>
                <c:pt idx="4">
                  <c:v>16406</c:v>
                </c:pt>
                <c:pt idx="5">
                  <c:v>5157</c:v>
                </c:pt>
                <c:pt idx="6">
                  <c:v>0</c:v>
                </c:pt>
                <c:pt idx="7">
                  <c:v>0</c:v>
                </c:pt>
                <c:pt idx="8">
                  <c:v>0</c:v>
                </c:pt>
                <c:pt idx="9">
                  <c:v>0</c:v>
                </c:pt>
                <c:pt idx="10">
                  <c:v>0</c:v>
                </c:pt>
                <c:pt idx="11">
                  <c:v>0</c:v>
                </c:pt>
              </c:numCache>
            </c:numRef>
          </c:val>
          <c:extLst>
            <c:ext xmlns:c16="http://schemas.microsoft.com/office/drawing/2014/chart" uri="{C3380CC4-5D6E-409C-BE32-E72D297353CC}">
              <c16:uniqueId val="{00000000-B871-45B4-A7D4-7904A3E35AB6}"/>
            </c:ext>
          </c:extLst>
        </c:ser>
        <c:dLbls>
          <c:showLegendKey val="0"/>
          <c:showVal val="0"/>
          <c:showCatName val="0"/>
          <c:showSerName val="0"/>
          <c:showPercent val="0"/>
          <c:showBubbleSize val="0"/>
        </c:dLbls>
        <c:gapWidth val="10"/>
        <c:overlap val="-5"/>
        <c:axId val="666825968"/>
        <c:axId val="666831368"/>
      </c:barChart>
      <c:catAx>
        <c:axId val="6668259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31368"/>
        <c:crosses val="autoZero"/>
        <c:auto val="1"/>
        <c:lblAlgn val="ctr"/>
        <c:lblOffset val="100"/>
        <c:noMultiLvlLbl val="0"/>
      </c:catAx>
      <c:valAx>
        <c:axId val="666831368"/>
        <c:scaling>
          <c:orientation val="minMax"/>
        </c:scaling>
        <c:delete val="1"/>
        <c:axPos val="l"/>
        <c:numFmt formatCode="_(* #,##0.00_);_(* \(#,##0.00\);_(* &quot;-&quot;??_);_(@_)" sourceLinked="1"/>
        <c:majorTickMark val="none"/>
        <c:minorTickMark val="none"/>
        <c:tickLblPos val="nextTo"/>
        <c:crossAx val="66682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FluxoCaixaConsolidado!A1"/><Relationship Id="rId13" Type="http://schemas.openxmlformats.org/officeDocument/2006/relationships/hyperlink" Target="#ContasReceberVencidas!A1"/><Relationship Id="rId3" Type="http://schemas.openxmlformats.org/officeDocument/2006/relationships/hyperlink" Target="#PCEntradasN2!A1"/><Relationship Id="rId7" Type="http://schemas.openxmlformats.org/officeDocument/2006/relationships/hyperlink" Target="#RegistroSa&#237;das!A1"/><Relationship Id="rId12" Type="http://schemas.openxmlformats.org/officeDocument/2006/relationships/hyperlink" Target="#ContasReceber!A1"/><Relationship Id="rId2" Type="http://schemas.openxmlformats.org/officeDocument/2006/relationships/hyperlink" Target="#PCEntradasN1!A1"/><Relationship Id="rId1" Type="http://schemas.openxmlformats.org/officeDocument/2006/relationships/image" Target="../media/image1.png"/><Relationship Id="rId6" Type="http://schemas.openxmlformats.org/officeDocument/2006/relationships/hyperlink" Target="#RegistroEntradas!A1"/><Relationship Id="rId11" Type="http://schemas.openxmlformats.org/officeDocument/2006/relationships/hyperlink" Target="#ContasPagar!A1"/><Relationship Id="rId5" Type="http://schemas.openxmlformats.org/officeDocument/2006/relationships/hyperlink" Target="#PCSa&#237;dasN2!A1"/><Relationship Id="rId15" Type="http://schemas.openxmlformats.org/officeDocument/2006/relationships/hyperlink" Target="#DashBoardFinanceiroAnual!A1"/><Relationship Id="rId10" Type="http://schemas.openxmlformats.org/officeDocument/2006/relationships/hyperlink" Target="#DetalhaDespesa!A1"/><Relationship Id="rId4" Type="http://schemas.openxmlformats.org/officeDocument/2006/relationships/hyperlink" Target="#PCSa&#237;dasN1!A1"/><Relationship Id="rId9" Type="http://schemas.openxmlformats.org/officeDocument/2006/relationships/hyperlink" Target="#DetalhaReceita!A1"/><Relationship Id="rId14" Type="http://schemas.openxmlformats.org/officeDocument/2006/relationships/hyperlink" Target="#DashBoardFinanceiroAtual!A1"/></Relationships>
</file>

<file path=xl/drawings/_rels/drawing2.xml.rels><?xml version="1.0" encoding="UTF-8" standalone="yes"?>
<Relationships xmlns="http://schemas.openxmlformats.org/package/2006/relationships"><Relationship Id="rId1" Type="http://schemas.openxmlformats.org/officeDocument/2006/relationships/hyperlink" Target="#In&#237;cio!A1"/></Relationships>
</file>

<file path=xl/drawings/_rels/drawing3.xml.rels><?xml version="1.0" encoding="UTF-8" standalone="yes"?>
<Relationships xmlns="http://schemas.openxmlformats.org/package/2006/relationships"><Relationship Id="rId1" Type="http://schemas.openxmlformats.org/officeDocument/2006/relationships/hyperlink" Target="#In&#237;cio!A1"/></Relationships>
</file>

<file path=xl/drawings/_rels/drawing4.xml.rels><?xml version="1.0" encoding="UTF-8" standalone="yes"?>
<Relationships xmlns="http://schemas.openxmlformats.org/package/2006/relationships"><Relationship Id="rId1" Type="http://schemas.openxmlformats.org/officeDocument/2006/relationships/hyperlink" Target="#In&#237;cio!A1"/></Relationships>
</file>

<file path=xl/drawings/_rels/drawing5.xml.rels><?xml version="1.0" encoding="UTF-8" standalone="yes"?>
<Relationships xmlns="http://schemas.openxmlformats.org/package/2006/relationships"><Relationship Id="rId1" Type="http://schemas.openxmlformats.org/officeDocument/2006/relationships/hyperlink" Target="#In&#237;cio!A1"/></Relationships>
</file>

<file path=xl/drawings/_rels/drawing6.xml.rels><?xml version="1.0" encoding="UTF-8" standalone="yes"?>
<Relationships xmlns="http://schemas.openxmlformats.org/package/2006/relationships"><Relationship Id="rId1" Type="http://schemas.openxmlformats.org/officeDocument/2006/relationships/hyperlink" Target="#In&#237;cio!A1"/></Relationships>
</file>

<file path=xl/drawings/_rels/drawing7.xml.rels><?xml version="1.0" encoding="UTF-8" standalone="yes"?>
<Relationships xmlns="http://schemas.openxmlformats.org/package/2006/relationships"><Relationship Id="rId1" Type="http://schemas.openxmlformats.org/officeDocument/2006/relationships/hyperlink" Target="#In&#237;cio!A1"/></Relationships>
</file>

<file path=xl/drawings/_rels/drawing8.xml.rels><?xml version="1.0" encoding="UTF-8" standalone="yes"?>
<Relationships xmlns="http://schemas.openxmlformats.org/package/2006/relationships"><Relationship Id="rId1" Type="http://schemas.openxmlformats.org/officeDocument/2006/relationships/hyperlink" Target="#In&#237;cio!A1"/></Relationships>
</file>

<file path=xl/drawings/_rels/drawing9.xml.rels><?xml version="1.0" encoding="UTF-8" standalone="yes"?>
<Relationships xmlns="http://schemas.openxmlformats.org/package/2006/relationships"><Relationship Id="rId1" Type="http://schemas.openxmlformats.org/officeDocument/2006/relationships/hyperlink" Target="#In&#237;cio!A1"/></Relationships>
</file>

<file path=xl/drawings/_rels/drawing10.xml.rels><?xml version="1.0" encoding="UTF-8" standalone="yes"?>
<Relationships xmlns="http://schemas.openxmlformats.org/package/2006/relationships"><Relationship Id="rId1" Type="http://schemas.openxmlformats.org/officeDocument/2006/relationships/hyperlink" Target="#In&#237;cio!A1"/></Relationships>
</file>

<file path=xl/drawings/_rels/drawing11.xml.rels><?xml version="1.0" encoding="UTF-8" standalone="yes"?>
<Relationships xmlns="http://schemas.openxmlformats.org/package/2006/relationships"><Relationship Id="rId1" Type="http://schemas.openxmlformats.org/officeDocument/2006/relationships/hyperlink" Target="#In&#237;cio!A1"/></Relationships>
</file>

<file path=xl/drawings/_rels/drawing12.xml.rels><?xml version="1.0" encoding="UTF-8" standalone="yes"?>
<Relationships xmlns="http://schemas.openxmlformats.org/package/2006/relationships"><Relationship Id="rId1" Type="http://schemas.openxmlformats.org/officeDocument/2006/relationships/hyperlink" Target="#In&#237;cio!A1"/></Relationships>
</file>

<file path=xl/drawings/_rels/drawing13.xml.rels><?xml version="1.0" encoding="UTF-8" standalone="yes"?>
<Relationships xmlns="http://schemas.openxmlformats.org/package/2006/relationships"><Relationship Id="rId1" Type="http://schemas.openxmlformats.org/officeDocument/2006/relationships/hyperlink" Target="#In&#237;cio!A1"/></Relationships>
</file>

<file path=xl/drawings/_rels/drawing14.xml.rels><?xml version="1.0" encoding="UTF-8" standalone="yes"?>
<Relationships xmlns="http://schemas.openxmlformats.org/package/2006/relationships"><Relationship Id="rId1" Type="http://schemas.openxmlformats.org/officeDocument/2006/relationships/hyperlink" Target="#In&#237;cio!A1"/></Relationships>
</file>

<file path=xl/drawings/_rels/drawing15.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In&#237;cio!A1"/><Relationship Id="rId5" Type="http://schemas.openxmlformats.org/officeDocument/2006/relationships/chart" Target="../charts/chart4.xml"/><Relationship Id="rId4" Type="http://schemas.openxmlformats.org/officeDocument/2006/relationships/chart" Target="../charts/chart3.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hyperlink" Target="#In&#237;cio!A1"/><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8</xdr:row>
      <xdr:rowOff>161924</xdr:rowOff>
    </xdr:from>
    <xdr:to>
      <xdr:col>1</xdr:col>
      <xdr:colOff>2696239</xdr:colOff>
      <xdr:row>16</xdr:row>
      <xdr:rowOff>9525</xdr:rowOff>
    </xdr:to>
    <xdr:pic>
      <xdr:nvPicPr>
        <xdr:cNvPr id="3" name="Picture 2">
          <a:extLst>
            <a:ext uri="{FF2B5EF4-FFF2-40B4-BE49-F238E27FC236}">
              <a16:creationId xmlns:a16="http://schemas.microsoft.com/office/drawing/2014/main" id="{3CBBEACA-7DD8-DAB2-0F66-616A111D62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1828799"/>
          <a:ext cx="2677189" cy="1828801"/>
        </a:xfrm>
        <a:prstGeom prst="rect">
          <a:avLst/>
        </a:prstGeom>
      </xdr:spPr>
    </xdr:pic>
    <xdr:clientData/>
  </xdr:twoCellAnchor>
  <xdr:twoCellAnchor>
    <xdr:from>
      <xdr:col>2</xdr:col>
      <xdr:colOff>781049</xdr:colOff>
      <xdr:row>2</xdr:row>
      <xdr:rowOff>238125</xdr:rowOff>
    </xdr:from>
    <xdr:to>
      <xdr:col>6</xdr:col>
      <xdr:colOff>409574</xdr:colOff>
      <xdr:row>4</xdr:row>
      <xdr:rowOff>47625</xdr:rowOff>
    </xdr:to>
    <xdr:sp macro="" textlink="">
      <xdr:nvSpPr>
        <xdr:cNvPr id="4" name="TextBox 3">
          <a:extLst>
            <a:ext uri="{FF2B5EF4-FFF2-40B4-BE49-F238E27FC236}">
              <a16:creationId xmlns:a16="http://schemas.microsoft.com/office/drawing/2014/main" id="{FDC6D4B3-D912-F0DA-0E13-B550E853706A}"/>
            </a:ext>
          </a:extLst>
        </xdr:cNvPr>
        <xdr:cNvSpPr txBox="1"/>
      </xdr:nvSpPr>
      <xdr:spPr>
        <a:xfrm>
          <a:off x="3676649" y="990600"/>
          <a:ext cx="2752725" cy="30480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alibri" panose="020F0502020204030204" pitchFamily="34" charset="0"/>
              <a:cs typeface="Calibri" panose="020F0502020204030204" pitchFamily="34" charset="0"/>
            </a:rPr>
            <a:t>CADASTROS</a:t>
          </a:r>
        </a:p>
      </xdr:txBody>
    </xdr:sp>
    <xdr:clientData/>
  </xdr:twoCellAnchor>
  <xdr:twoCellAnchor>
    <xdr:from>
      <xdr:col>6</xdr:col>
      <xdr:colOff>571499</xdr:colOff>
      <xdr:row>2</xdr:row>
      <xdr:rowOff>238125</xdr:rowOff>
    </xdr:from>
    <xdr:to>
      <xdr:col>10</xdr:col>
      <xdr:colOff>200024</xdr:colOff>
      <xdr:row>4</xdr:row>
      <xdr:rowOff>47625</xdr:rowOff>
    </xdr:to>
    <xdr:sp macro="" textlink="">
      <xdr:nvSpPr>
        <xdr:cNvPr id="9" name="TextBox 8">
          <a:extLst>
            <a:ext uri="{FF2B5EF4-FFF2-40B4-BE49-F238E27FC236}">
              <a16:creationId xmlns:a16="http://schemas.microsoft.com/office/drawing/2014/main" id="{5861638C-9ED5-42E3-A6C4-A6130744DF85}"/>
            </a:ext>
          </a:extLst>
        </xdr:cNvPr>
        <xdr:cNvSpPr txBox="1"/>
      </xdr:nvSpPr>
      <xdr:spPr>
        <a:xfrm>
          <a:off x="6591299" y="990600"/>
          <a:ext cx="2752725" cy="30480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alibri" panose="020F0502020204030204" pitchFamily="34" charset="0"/>
              <a:cs typeface="Calibri" panose="020F0502020204030204" pitchFamily="34" charset="0"/>
            </a:rPr>
            <a:t>RELATÓRIOS</a:t>
          </a:r>
        </a:p>
      </xdr:txBody>
    </xdr:sp>
    <xdr:clientData/>
  </xdr:twoCellAnchor>
  <xdr:twoCellAnchor>
    <xdr:from>
      <xdr:col>10</xdr:col>
      <xdr:colOff>361950</xdr:colOff>
      <xdr:row>2</xdr:row>
      <xdr:rowOff>238125</xdr:rowOff>
    </xdr:from>
    <xdr:to>
      <xdr:col>13</xdr:col>
      <xdr:colOff>771525</xdr:colOff>
      <xdr:row>4</xdr:row>
      <xdr:rowOff>47625</xdr:rowOff>
    </xdr:to>
    <xdr:sp macro="" textlink="">
      <xdr:nvSpPr>
        <xdr:cNvPr id="10" name="TextBox 9">
          <a:extLst>
            <a:ext uri="{FF2B5EF4-FFF2-40B4-BE49-F238E27FC236}">
              <a16:creationId xmlns:a16="http://schemas.microsoft.com/office/drawing/2014/main" id="{A0D7C6CF-118C-486F-9658-DB61DD3625B6}"/>
            </a:ext>
          </a:extLst>
        </xdr:cNvPr>
        <xdr:cNvSpPr txBox="1"/>
      </xdr:nvSpPr>
      <xdr:spPr>
        <a:xfrm>
          <a:off x="9505950" y="990600"/>
          <a:ext cx="2752725" cy="30480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alibri" panose="020F0502020204030204" pitchFamily="34" charset="0"/>
              <a:cs typeface="Calibri" panose="020F0502020204030204" pitchFamily="34" charset="0"/>
            </a:rPr>
            <a:t>GRÁFICOS</a:t>
          </a:r>
        </a:p>
      </xdr:txBody>
    </xdr:sp>
    <xdr:clientData/>
  </xdr:twoCellAnchor>
  <xdr:twoCellAnchor>
    <xdr:from>
      <xdr:col>3</xdr:col>
      <xdr:colOff>0</xdr:colOff>
      <xdr:row>5</xdr:row>
      <xdr:rowOff>0</xdr:rowOff>
    </xdr:from>
    <xdr:to>
      <xdr:col>6</xdr:col>
      <xdr:colOff>409575</xdr:colOff>
      <xdr:row>6</xdr:row>
      <xdr:rowOff>57150</xdr:rowOff>
    </xdr:to>
    <xdr:sp macro="" textlink="">
      <xdr:nvSpPr>
        <xdr:cNvPr id="11" name="TextBox 10">
          <a:hlinkClick xmlns:r="http://schemas.openxmlformats.org/officeDocument/2006/relationships" r:id="rId2"/>
          <a:extLst>
            <a:ext uri="{FF2B5EF4-FFF2-40B4-BE49-F238E27FC236}">
              <a16:creationId xmlns:a16="http://schemas.microsoft.com/office/drawing/2014/main" id="{E5B4BC17-A398-463E-8943-EF2A77FC05FC}"/>
            </a:ext>
          </a:extLst>
        </xdr:cNvPr>
        <xdr:cNvSpPr txBox="1"/>
      </xdr:nvSpPr>
      <xdr:spPr>
        <a:xfrm>
          <a:off x="3676650" y="1495425"/>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Plano de Contas de Entradas - Nível 1</a:t>
          </a:r>
        </a:p>
      </xdr:txBody>
    </xdr:sp>
    <xdr:clientData/>
  </xdr:twoCellAnchor>
  <xdr:twoCellAnchor>
    <xdr:from>
      <xdr:col>3</xdr:col>
      <xdr:colOff>0</xdr:colOff>
      <xdr:row>6</xdr:row>
      <xdr:rowOff>150495</xdr:rowOff>
    </xdr:from>
    <xdr:to>
      <xdr:col>6</xdr:col>
      <xdr:colOff>409575</xdr:colOff>
      <xdr:row>7</xdr:row>
      <xdr:rowOff>207645</xdr:rowOff>
    </xdr:to>
    <xdr:sp macro="" textlink="">
      <xdr:nvSpPr>
        <xdr:cNvPr id="12" name="TextBox 11">
          <a:hlinkClick xmlns:r="http://schemas.openxmlformats.org/officeDocument/2006/relationships" r:id="rId3"/>
          <a:extLst>
            <a:ext uri="{FF2B5EF4-FFF2-40B4-BE49-F238E27FC236}">
              <a16:creationId xmlns:a16="http://schemas.microsoft.com/office/drawing/2014/main" id="{E6518FE6-0BCC-49D4-83E0-4C2B8B0F29C5}"/>
            </a:ext>
          </a:extLst>
        </xdr:cNvPr>
        <xdr:cNvSpPr txBox="1"/>
      </xdr:nvSpPr>
      <xdr:spPr>
        <a:xfrm>
          <a:off x="3676650" y="1893570"/>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Plano de Contas de Entradas - Nível 2</a:t>
          </a:r>
        </a:p>
      </xdr:txBody>
    </xdr:sp>
    <xdr:clientData/>
  </xdr:twoCellAnchor>
  <xdr:twoCellAnchor>
    <xdr:from>
      <xdr:col>3</xdr:col>
      <xdr:colOff>0</xdr:colOff>
      <xdr:row>8</xdr:row>
      <xdr:rowOff>53340</xdr:rowOff>
    </xdr:from>
    <xdr:to>
      <xdr:col>6</xdr:col>
      <xdr:colOff>409575</xdr:colOff>
      <xdr:row>9</xdr:row>
      <xdr:rowOff>110490</xdr:rowOff>
    </xdr:to>
    <xdr:sp macro="" textlink="">
      <xdr:nvSpPr>
        <xdr:cNvPr id="13" name="TextBox 12">
          <a:hlinkClick xmlns:r="http://schemas.openxmlformats.org/officeDocument/2006/relationships" r:id="rId4"/>
          <a:extLst>
            <a:ext uri="{FF2B5EF4-FFF2-40B4-BE49-F238E27FC236}">
              <a16:creationId xmlns:a16="http://schemas.microsoft.com/office/drawing/2014/main" id="{4EB0E3DF-B33E-4FE1-851E-B4706D2723ED}"/>
            </a:ext>
          </a:extLst>
        </xdr:cNvPr>
        <xdr:cNvSpPr txBox="1"/>
      </xdr:nvSpPr>
      <xdr:spPr>
        <a:xfrm>
          <a:off x="3676650" y="2291715"/>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Plano de Contas de Saídas - Nível 1</a:t>
          </a:r>
        </a:p>
      </xdr:txBody>
    </xdr:sp>
    <xdr:clientData/>
  </xdr:twoCellAnchor>
  <xdr:twoCellAnchor>
    <xdr:from>
      <xdr:col>3</xdr:col>
      <xdr:colOff>0</xdr:colOff>
      <xdr:row>9</xdr:row>
      <xdr:rowOff>203835</xdr:rowOff>
    </xdr:from>
    <xdr:to>
      <xdr:col>6</xdr:col>
      <xdr:colOff>409575</xdr:colOff>
      <xdr:row>11</xdr:row>
      <xdr:rowOff>13335</xdr:rowOff>
    </xdr:to>
    <xdr:sp macro="" textlink="">
      <xdr:nvSpPr>
        <xdr:cNvPr id="14" name="TextBox 13">
          <a:hlinkClick xmlns:r="http://schemas.openxmlformats.org/officeDocument/2006/relationships" r:id="rId5"/>
          <a:extLst>
            <a:ext uri="{FF2B5EF4-FFF2-40B4-BE49-F238E27FC236}">
              <a16:creationId xmlns:a16="http://schemas.microsoft.com/office/drawing/2014/main" id="{F2F4C3CC-E641-4E2D-85A0-2498141757EF}"/>
            </a:ext>
          </a:extLst>
        </xdr:cNvPr>
        <xdr:cNvSpPr txBox="1"/>
      </xdr:nvSpPr>
      <xdr:spPr>
        <a:xfrm>
          <a:off x="3676650" y="2689860"/>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Plano de Contas de Saídas - Nível 2</a:t>
          </a:r>
        </a:p>
      </xdr:txBody>
    </xdr:sp>
    <xdr:clientData/>
  </xdr:twoCellAnchor>
  <xdr:twoCellAnchor>
    <xdr:from>
      <xdr:col>3</xdr:col>
      <xdr:colOff>0</xdr:colOff>
      <xdr:row>11</xdr:row>
      <xdr:rowOff>106680</xdr:rowOff>
    </xdr:from>
    <xdr:to>
      <xdr:col>6</xdr:col>
      <xdr:colOff>409575</xdr:colOff>
      <xdr:row>12</xdr:row>
      <xdr:rowOff>163830</xdr:rowOff>
    </xdr:to>
    <xdr:sp macro="" textlink="">
      <xdr:nvSpPr>
        <xdr:cNvPr id="15" name="TextBox 14">
          <a:hlinkClick xmlns:r="http://schemas.openxmlformats.org/officeDocument/2006/relationships" r:id="rId6"/>
          <a:extLst>
            <a:ext uri="{FF2B5EF4-FFF2-40B4-BE49-F238E27FC236}">
              <a16:creationId xmlns:a16="http://schemas.microsoft.com/office/drawing/2014/main" id="{EBAFC1C8-13A7-4FF6-A041-94B1ABD73FFE}"/>
            </a:ext>
          </a:extLst>
        </xdr:cNvPr>
        <xdr:cNvSpPr txBox="1"/>
      </xdr:nvSpPr>
      <xdr:spPr>
        <a:xfrm>
          <a:off x="3676650" y="3088005"/>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Registro das Entradas de Caixa</a:t>
          </a:r>
        </a:p>
      </xdr:txBody>
    </xdr:sp>
    <xdr:clientData/>
  </xdr:twoCellAnchor>
  <xdr:twoCellAnchor>
    <xdr:from>
      <xdr:col>3</xdr:col>
      <xdr:colOff>0</xdr:colOff>
      <xdr:row>13</xdr:row>
      <xdr:rowOff>9525</xdr:rowOff>
    </xdr:from>
    <xdr:to>
      <xdr:col>6</xdr:col>
      <xdr:colOff>409575</xdr:colOff>
      <xdr:row>14</xdr:row>
      <xdr:rowOff>66675</xdr:rowOff>
    </xdr:to>
    <xdr:sp macro="" textlink="">
      <xdr:nvSpPr>
        <xdr:cNvPr id="16" name="TextBox 15">
          <a:hlinkClick xmlns:r="http://schemas.openxmlformats.org/officeDocument/2006/relationships" r:id="rId7"/>
          <a:extLst>
            <a:ext uri="{FF2B5EF4-FFF2-40B4-BE49-F238E27FC236}">
              <a16:creationId xmlns:a16="http://schemas.microsoft.com/office/drawing/2014/main" id="{61231F01-3C5C-4B26-9897-8BA4DB38A41B}"/>
            </a:ext>
          </a:extLst>
        </xdr:cNvPr>
        <xdr:cNvSpPr txBox="1"/>
      </xdr:nvSpPr>
      <xdr:spPr>
        <a:xfrm>
          <a:off x="3676650" y="3486150"/>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Registro das Saídas de Caixa</a:t>
          </a:r>
        </a:p>
      </xdr:txBody>
    </xdr:sp>
    <xdr:clientData/>
  </xdr:twoCellAnchor>
  <xdr:twoCellAnchor>
    <xdr:from>
      <xdr:col>6</xdr:col>
      <xdr:colOff>571500</xdr:colOff>
      <xdr:row>5</xdr:row>
      <xdr:rowOff>0</xdr:rowOff>
    </xdr:from>
    <xdr:to>
      <xdr:col>10</xdr:col>
      <xdr:colOff>200025</xdr:colOff>
      <xdr:row>6</xdr:row>
      <xdr:rowOff>57150</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D675CC12-9E5E-4C7E-9E5E-6551BDC3625D}"/>
            </a:ext>
          </a:extLst>
        </xdr:cNvPr>
        <xdr:cNvSpPr txBox="1"/>
      </xdr:nvSpPr>
      <xdr:spPr>
        <a:xfrm>
          <a:off x="6591300" y="1495425"/>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Fluxo de Caixa e Resultado Mensal</a:t>
          </a:r>
        </a:p>
      </xdr:txBody>
    </xdr:sp>
    <xdr:clientData/>
  </xdr:twoCellAnchor>
  <xdr:twoCellAnchor>
    <xdr:from>
      <xdr:col>6</xdr:col>
      <xdr:colOff>571500</xdr:colOff>
      <xdr:row>6</xdr:row>
      <xdr:rowOff>150495</xdr:rowOff>
    </xdr:from>
    <xdr:to>
      <xdr:col>10</xdr:col>
      <xdr:colOff>200025</xdr:colOff>
      <xdr:row>7</xdr:row>
      <xdr:rowOff>207645</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57A3E00C-8A1F-407D-A2A5-170125D53F9E}"/>
            </a:ext>
          </a:extLst>
        </xdr:cNvPr>
        <xdr:cNvSpPr txBox="1"/>
      </xdr:nvSpPr>
      <xdr:spPr>
        <a:xfrm>
          <a:off x="6591300" y="1893570"/>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Detalhamento da Receita</a:t>
          </a:r>
        </a:p>
      </xdr:txBody>
    </xdr:sp>
    <xdr:clientData/>
  </xdr:twoCellAnchor>
  <xdr:twoCellAnchor>
    <xdr:from>
      <xdr:col>6</xdr:col>
      <xdr:colOff>571500</xdr:colOff>
      <xdr:row>8</xdr:row>
      <xdr:rowOff>53340</xdr:rowOff>
    </xdr:from>
    <xdr:to>
      <xdr:col>10</xdr:col>
      <xdr:colOff>200025</xdr:colOff>
      <xdr:row>9</xdr:row>
      <xdr:rowOff>110490</xdr:rowOff>
    </xdr:to>
    <xdr:sp macro="" textlink="">
      <xdr:nvSpPr>
        <xdr:cNvPr id="19" name="TextBox 18">
          <a:hlinkClick xmlns:r="http://schemas.openxmlformats.org/officeDocument/2006/relationships" r:id="rId10"/>
          <a:extLst>
            <a:ext uri="{FF2B5EF4-FFF2-40B4-BE49-F238E27FC236}">
              <a16:creationId xmlns:a16="http://schemas.microsoft.com/office/drawing/2014/main" id="{3D21C086-9077-45BC-9AB6-71B9FB7E070D}"/>
            </a:ext>
          </a:extLst>
        </xdr:cNvPr>
        <xdr:cNvSpPr txBox="1"/>
      </xdr:nvSpPr>
      <xdr:spPr>
        <a:xfrm>
          <a:off x="6591300" y="2291715"/>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Detalhamento da Despesa</a:t>
          </a:r>
        </a:p>
      </xdr:txBody>
    </xdr:sp>
    <xdr:clientData/>
  </xdr:twoCellAnchor>
  <xdr:twoCellAnchor>
    <xdr:from>
      <xdr:col>6</xdr:col>
      <xdr:colOff>571500</xdr:colOff>
      <xdr:row>9</xdr:row>
      <xdr:rowOff>203835</xdr:rowOff>
    </xdr:from>
    <xdr:to>
      <xdr:col>10</xdr:col>
      <xdr:colOff>200025</xdr:colOff>
      <xdr:row>11</xdr:row>
      <xdr:rowOff>13335</xdr:rowOff>
    </xdr:to>
    <xdr:sp macro="" textlink="">
      <xdr:nvSpPr>
        <xdr:cNvPr id="20" name="TextBox 19">
          <a:hlinkClick xmlns:r="http://schemas.openxmlformats.org/officeDocument/2006/relationships" r:id="rId11"/>
          <a:extLst>
            <a:ext uri="{FF2B5EF4-FFF2-40B4-BE49-F238E27FC236}">
              <a16:creationId xmlns:a16="http://schemas.microsoft.com/office/drawing/2014/main" id="{B45A8390-0AE2-4DCE-A21A-52B26727112B}"/>
            </a:ext>
          </a:extLst>
        </xdr:cNvPr>
        <xdr:cNvSpPr txBox="1"/>
      </xdr:nvSpPr>
      <xdr:spPr>
        <a:xfrm>
          <a:off x="6591300" y="2689860"/>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Contas a Pagar</a:t>
          </a:r>
        </a:p>
      </xdr:txBody>
    </xdr:sp>
    <xdr:clientData/>
  </xdr:twoCellAnchor>
  <xdr:twoCellAnchor>
    <xdr:from>
      <xdr:col>6</xdr:col>
      <xdr:colOff>571500</xdr:colOff>
      <xdr:row>11</xdr:row>
      <xdr:rowOff>106680</xdr:rowOff>
    </xdr:from>
    <xdr:to>
      <xdr:col>10</xdr:col>
      <xdr:colOff>200025</xdr:colOff>
      <xdr:row>12</xdr:row>
      <xdr:rowOff>163830</xdr:rowOff>
    </xdr:to>
    <xdr:sp macro="" textlink="">
      <xdr:nvSpPr>
        <xdr:cNvPr id="21" name="TextBox 20">
          <a:hlinkClick xmlns:r="http://schemas.openxmlformats.org/officeDocument/2006/relationships" r:id="rId12"/>
          <a:extLst>
            <a:ext uri="{FF2B5EF4-FFF2-40B4-BE49-F238E27FC236}">
              <a16:creationId xmlns:a16="http://schemas.microsoft.com/office/drawing/2014/main" id="{E8EA9EF2-B308-4CAB-B58E-5A114BBE91D0}"/>
            </a:ext>
          </a:extLst>
        </xdr:cNvPr>
        <xdr:cNvSpPr txBox="1"/>
      </xdr:nvSpPr>
      <xdr:spPr>
        <a:xfrm>
          <a:off x="6591300" y="3088005"/>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Contas a Receber</a:t>
          </a:r>
        </a:p>
      </xdr:txBody>
    </xdr:sp>
    <xdr:clientData/>
  </xdr:twoCellAnchor>
  <xdr:twoCellAnchor>
    <xdr:from>
      <xdr:col>6</xdr:col>
      <xdr:colOff>571500</xdr:colOff>
      <xdr:row>13</xdr:row>
      <xdr:rowOff>9525</xdr:rowOff>
    </xdr:from>
    <xdr:to>
      <xdr:col>10</xdr:col>
      <xdr:colOff>200025</xdr:colOff>
      <xdr:row>14</xdr:row>
      <xdr:rowOff>66675</xdr:rowOff>
    </xdr:to>
    <xdr:sp macro="" textlink="">
      <xdr:nvSpPr>
        <xdr:cNvPr id="22" name="TextBox 21">
          <a:hlinkClick xmlns:r="http://schemas.openxmlformats.org/officeDocument/2006/relationships" r:id="rId13"/>
          <a:extLst>
            <a:ext uri="{FF2B5EF4-FFF2-40B4-BE49-F238E27FC236}">
              <a16:creationId xmlns:a16="http://schemas.microsoft.com/office/drawing/2014/main" id="{922AB254-0D1B-4958-96D0-D45AC5FAE8A4}"/>
            </a:ext>
          </a:extLst>
        </xdr:cNvPr>
        <xdr:cNvSpPr txBox="1"/>
      </xdr:nvSpPr>
      <xdr:spPr>
        <a:xfrm>
          <a:off x="6591300" y="3486150"/>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Contas a Receber Vencidas</a:t>
          </a:r>
        </a:p>
      </xdr:txBody>
    </xdr:sp>
    <xdr:clientData/>
  </xdr:twoCellAnchor>
  <xdr:twoCellAnchor>
    <xdr:from>
      <xdr:col>10</xdr:col>
      <xdr:colOff>371475</xdr:colOff>
      <xdr:row>5</xdr:row>
      <xdr:rowOff>0</xdr:rowOff>
    </xdr:from>
    <xdr:to>
      <xdr:col>14</xdr:col>
      <xdr:colOff>0</xdr:colOff>
      <xdr:row>6</xdr:row>
      <xdr:rowOff>57150</xdr:rowOff>
    </xdr:to>
    <xdr:sp macro="" textlink="">
      <xdr:nvSpPr>
        <xdr:cNvPr id="23" name="TextBox 22">
          <a:hlinkClick xmlns:r="http://schemas.openxmlformats.org/officeDocument/2006/relationships" r:id="rId14"/>
          <a:extLst>
            <a:ext uri="{FF2B5EF4-FFF2-40B4-BE49-F238E27FC236}">
              <a16:creationId xmlns:a16="http://schemas.microsoft.com/office/drawing/2014/main" id="{96CCFF45-9F95-4D10-993E-597604F96505}"/>
            </a:ext>
          </a:extLst>
        </xdr:cNvPr>
        <xdr:cNvSpPr txBox="1"/>
      </xdr:nvSpPr>
      <xdr:spPr>
        <a:xfrm>
          <a:off x="9515475" y="1495425"/>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Dashboard Financeiro - Posição Atual</a:t>
          </a:r>
        </a:p>
      </xdr:txBody>
    </xdr:sp>
    <xdr:clientData/>
  </xdr:twoCellAnchor>
  <xdr:twoCellAnchor>
    <xdr:from>
      <xdr:col>10</xdr:col>
      <xdr:colOff>371475</xdr:colOff>
      <xdr:row>6</xdr:row>
      <xdr:rowOff>150495</xdr:rowOff>
    </xdr:from>
    <xdr:to>
      <xdr:col>14</xdr:col>
      <xdr:colOff>0</xdr:colOff>
      <xdr:row>7</xdr:row>
      <xdr:rowOff>207645</xdr:rowOff>
    </xdr:to>
    <xdr:sp macro="" textlink="">
      <xdr:nvSpPr>
        <xdr:cNvPr id="24" name="TextBox 23">
          <a:hlinkClick xmlns:r="http://schemas.openxmlformats.org/officeDocument/2006/relationships" r:id="rId15"/>
          <a:extLst>
            <a:ext uri="{FF2B5EF4-FFF2-40B4-BE49-F238E27FC236}">
              <a16:creationId xmlns:a16="http://schemas.microsoft.com/office/drawing/2014/main" id="{8DEAF428-8947-419C-A493-3613A5DFF9B6}"/>
            </a:ext>
          </a:extLst>
        </xdr:cNvPr>
        <xdr:cNvSpPr txBox="1"/>
      </xdr:nvSpPr>
      <xdr:spPr>
        <a:xfrm>
          <a:off x="9515475" y="1893570"/>
          <a:ext cx="275272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Dashboard Financeiro - Posição Anual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1" name="TextBox 20">
          <a:hlinkClick xmlns:r="http://schemas.openxmlformats.org/officeDocument/2006/relationships" r:id="rId1"/>
          <a:extLst>
            <a:ext uri="{FF2B5EF4-FFF2-40B4-BE49-F238E27FC236}">
              <a16:creationId xmlns:a16="http://schemas.microsoft.com/office/drawing/2014/main" id="{67A51B06-E1DE-4703-8D75-AAB45AA5C497}"/>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21FD4338-1354-436C-98DF-08E7676D7DF1}"/>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10F09F85-20D6-45A5-ABDA-B884313D8CCC}"/>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4B9FC137-88AA-48B4-8744-E1AA5F45AA1B}"/>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2FBA6730-EE30-4B2D-9681-27B698BE2053}"/>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EF7A4972-0059-4029-A536-360F2CD57E13}"/>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F674F2A1-24D6-4FFF-BADA-7679904E351C}"/>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E7179B87-9F79-4327-AF2E-9351F6AC5EA2}"/>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6B406950-DC78-4771-9370-C62CEE2B0090}"/>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twoCellAnchor editAs="oneCell">
    <xdr:from>
      <xdr:col>3</xdr:col>
      <xdr:colOff>333375</xdr:colOff>
      <xdr:row>1</xdr:row>
      <xdr:rowOff>47623</xdr:rowOff>
    </xdr:from>
    <xdr:to>
      <xdr:col>8</xdr:col>
      <xdr:colOff>66675</xdr:colOff>
      <xdr:row>1</xdr:row>
      <xdr:rowOff>1000124</xdr:rowOff>
    </xdr:to>
    <mc:AlternateContent xmlns:mc="http://schemas.openxmlformats.org/markup-compatibility/2006" xmlns:a14="http://schemas.microsoft.com/office/drawing/2010/main">
      <mc:Choice Requires="a14">
        <xdr:graphicFrame macro="">
          <xdr:nvGraphicFramePr>
            <xdr:cNvPr id="3" name="Mês Competência">
              <a:extLst>
                <a:ext uri="{FF2B5EF4-FFF2-40B4-BE49-F238E27FC236}">
                  <a16:creationId xmlns:a16="http://schemas.microsoft.com/office/drawing/2014/main" id="{27890C24-3F55-6819-9E5C-A4C23D1F0E67}"/>
                </a:ext>
              </a:extLst>
            </xdr:cNvPr>
            <xdr:cNvGraphicFramePr/>
          </xdr:nvGraphicFramePr>
          <xdr:xfrm>
            <a:off x="0" y="0"/>
            <a:ext cx="0" cy="0"/>
          </xdr:xfrm>
          <a:graphic>
            <a:graphicData uri="http://schemas.microsoft.com/office/drawing/2010/slicer">
              <sle:slicer xmlns:sle="http://schemas.microsoft.com/office/drawing/2010/slicer" name="Mês Competência"/>
            </a:graphicData>
          </a:graphic>
        </xdr:graphicFrame>
      </mc:Choice>
      <mc:Fallback xmlns="">
        <xdr:sp macro="" textlink="">
          <xdr:nvSpPr>
            <xdr:cNvPr id="0" name=""/>
            <xdr:cNvSpPr>
              <a:spLocks noTextEdit="1"/>
            </xdr:cNvSpPr>
          </xdr:nvSpPr>
          <xdr:spPr>
            <a:xfrm>
              <a:off x="3343275" y="552448"/>
              <a:ext cx="3638550" cy="952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1200150</xdr:colOff>
      <xdr:row>1</xdr:row>
      <xdr:rowOff>28575</xdr:rowOff>
    </xdr:from>
    <xdr:to>
      <xdr:col>3</xdr:col>
      <xdr:colOff>200025</xdr:colOff>
      <xdr:row>1</xdr:row>
      <xdr:rowOff>990600</xdr:rowOff>
    </xdr:to>
    <mc:AlternateContent xmlns:mc="http://schemas.openxmlformats.org/markup-compatibility/2006" xmlns:a14="http://schemas.microsoft.com/office/drawing/2010/main">
      <mc:Choice Requires="a14">
        <xdr:graphicFrame macro="">
          <xdr:nvGraphicFramePr>
            <xdr:cNvPr id="4" name="Ano Competência">
              <a:extLst>
                <a:ext uri="{FF2B5EF4-FFF2-40B4-BE49-F238E27FC236}">
                  <a16:creationId xmlns:a16="http://schemas.microsoft.com/office/drawing/2014/main" id="{52B34893-2618-5BFD-E508-12171347DC8A}"/>
                </a:ext>
              </a:extLst>
            </xdr:cNvPr>
            <xdr:cNvGraphicFramePr/>
          </xdr:nvGraphicFramePr>
          <xdr:xfrm>
            <a:off x="0" y="0"/>
            <a:ext cx="0" cy="0"/>
          </xdr:xfrm>
          <a:graphic>
            <a:graphicData uri="http://schemas.microsoft.com/office/drawing/2010/slicer">
              <sle:slicer xmlns:sle="http://schemas.microsoft.com/office/drawing/2010/slicer" name="Ano Competência"/>
            </a:graphicData>
          </a:graphic>
        </xdr:graphicFrame>
      </mc:Choice>
      <mc:Fallback xmlns="">
        <xdr:sp macro="" textlink="">
          <xdr:nvSpPr>
            <xdr:cNvPr id="0" name=""/>
            <xdr:cNvSpPr>
              <a:spLocks noTextEdit="1"/>
            </xdr:cNvSpPr>
          </xdr:nvSpPr>
          <xdr:spPr>
            <a:xfrm>
              <a:off x="1381125" y="533400"/>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DD893D6C-15A2-4456-921F-9C7C1087BC93}"/>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twoCellAnchor editAs="oneCell">
    <xdr:from>
      <xdr:col>3</xdr:col>
      <xdr:colOff>285749</xdr:colOff>
      <xdr:row>1</xdr:row>
      <xdr:rowOff>19050</xdr:rowOff>
    </xdr:from>
    <xdr:to>
      <xdr:col>7</xdr:col>
      <xdr:colOff>771525</xdr:colOff>
      <xdr:row>1</xdr:row>
      <xdr:rowOff>971550</xdr:rowOff>
    </xdr:to>
    <mc:AlternateContent xmlns:mc="http://schemas.openxmlformats.org/markup-compatibility/2006" xmlns:a14="http://schemas.microsoft.com/office/drawing/2010/main">
      <mc:Choice Requires="a14">
        <xdr:graphicFrame macro="">
          <xdr:nvGraphicFramePr>
            <xdr:cNvPr id="3" name="Mês Competência 1">
              <a:extLst>
                <a:ext uri="{FF2B5EF4-FFF2-40B4-BE49-F238E27FC236}">
                  <a16:creationId xmlns:a16="http://schemas.microsoft.com/office/drawing/2014/main" id="{3BCA5F0C-F5D5-9F23-0874-3C6A6C051939}"/>
                </a:ext>
              </a:extLst>
            </xdr:cNvPr>
            <xdr:cNvGraphicFramePr/>
          </xdr:nvGraphicFramePr>
          <xdr:xfrm>
            <a:off x="0" y="0"/>
            <a:ext cx="0" cy="0"/>
          </xdr:xfrm>
          <a:graphic>
            <a:graphicData uri="http://schemas.microsoft.com/office/drawing/2010/slicer">
              <sle:slicer xmlns:sle="http://schemas.microsoft.com/office/drawing/2010/slicer" name="Mês Competência 1"/>
            </a:graphicData>
          </a:graphic>
        </xdr:graphicFrame>
      </mc:Choice>
      <mc:Fallback xmlns="">
        <xdr:sp macro="" textlink="">
          <xdr:nvSpPr>
            <xdr:cNvPr id="0" name=""/>
            <xdr:cNvSpPr>
              <a:spLocks noTextEdit="1"/>
            </xdr:cNvSpPr>
          </xdr:nvSpPr>
          <xdr:spPr>
            <a:xfrm>
              <a:off x="3295649" y="523875"/>
              <a:ext cx="3609976"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1190625</xdr:colOff>
      <xdr:row>1</xdr:row>
      <xdr:rowOff>28574</xdr:rowOff>
    </xdr:from>
    <xdr:to>
      <xdr:col>3</xdr:col>
      <xdr:colOff>190500</xdr:colOff>
      <xdr:row>1</xdr:row>
      <xdr:rowOff>971549</xdr:rowOff>
    </xdr:to>
    <mc:AlternateContent xmlns:mc="http://schemas.openxmlformats.org/markup-compatibility/2006" xmlns:a14="http://schemas.microsoft.com/office/drawing/2010/main">
      <mc:Choice Requires="a14">
        <xdr:graphicFrame macro="">
          <xdr:nvGraphicFramePr>
            <xdr:cNvPr id="4" name="Ano Competência 1">
              <a:extLst>
                <a:ext uri="{FF2B5EF4-FFF2-40B4-BE49-F238E27FC236}">
                  <a16:creationId xmlns:a16="http://schemas.microsoft.com/office/drawing/2014/main" id="{B27A644F-6602-484D-91CF-35AB164DBC12}"/>
                </a:ext>
              </a:extLst>
            </xdr:cNvPr>
            <xdr:cNvGraphicFramePr/>
          </xdr:nvGraphicFramePr>
          <xdr:xfrm>
            <a:off x="0" y="0"/>
            <a:ext cx="0" cy="0"/>
          </xdr:xfrm>
          <a:graphic>
            <a:graphicData uri="http://schemas.microsoft.com/office/drawing/2010/slicer">
              <sle:slicer xmlns:sle="http://schemas.microsoft.com/office/drawing/2010/slicer" name="Ano Competência 1"/>
            </a:graphicData>
          </a:graphic>
        </xdr:graphicFrame>
      </mc:Choice>
      <mc:Fallback xmlns="">
        <xdr:sp macro="" textlink="">
          <xdr:nvSpPr>
            <xdr:cNvPr id="0" name=""/>
            <xdr:cNvSpPr>
              <a:spLocks noTextEdit="1"/>
            </xdr:cNvSpPr>
          </xdr:nvSpPr>
          <xdr:spPr>
            <a:xfrm>
              <a:off x="1371600" y="533399"/>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68ADD7DE-D1C6-498D-AAFF-89E58FB65109}"/>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twoCellAnchor editAs="oneCell">
    <xdr:from>
      <xdr:col>3</xdr:col>
      <xdr:colOff>257174</xdr:colOff>
      <xdr:row>0</xdr:row>
      <xdr:rowOff>504824</xdr:rowOff>
    </xdr:from>
    <xdr:to>
      <xdr:col>6</xdr:col>
      <xdr:colOff>590549</xdr:colOff>
      <xdr:row>1</xdr:row>
      <xdr:rowOff>953999</xdr:rowOff>
    </xdr:to>
    <mc:AlternateContent xmlns:mc="http://schemas.openxmlformats.org/markup-compatibility/2006" xmlns:a14="http://schemas.microsoft.com/office/drawing/2010/main">
      <mc:Choice Requires="a14">
        <xdr:graphicFrame macro="">
          <xdr:nvGraphicFramePr>
            <xdr:cNvPr id="3" name="Mês Previsto">
              <a:extLst>
                <a:ext uri="{FF2B5EF4-FFF2-40B4-BE49-F238E27FC236}">
                  <a16:creationId xmlns:a16="http://schemas.microsoft.com/office/drawing/2014/main" id="{C235055B-D1D4-B209-76DE-60E571F9FA91}"/>
                </a:ext>
              </a:extLst>
            </xdr:cNvPr>
            <xdr:cNvGraphicFramePr/>
          </xdr:nvGraphicFramePr>
          <xdr:xfrm>
            <a:off x="0" y="0"/>
            <a:ext cx="0" cy="0"/>
          </xdr:xfrm>
          <a:graphic>
            <a:graphicData uri="http://schemas.microsoft.com/office/drawing/2010/slicer">
              <sle:slicer xmlns:sle="http://schemas.microsoft.com/office/drawing/2010/slicer" name="Mês Previsto"/>
            </a:graphicData>
          </a:graphic>
        </xdr:graphicFrame>
      </mc:Choice>
      <mc:Fallback xmlns="">
        <xdr:sp macro="" textlink="">
          <xdr:nvSpPr>
            <xdr:cNvPr id="0" name=""/>
            <xdr:cNvSpPr>
              <a:spLocks noTextEdit="1"/>
            </xdr:cNvSpPr>
          </xdr:nvSpPr>
          <xdr:spPr>
            <a:xfrm>
              <a:off x="3267074" y="504824"/>
              <a:ext cx="2676525" cy="95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1133475</xdr:colOff>
      <xdr:row>1</xdr:row>
      <xdr:rowOff>0</xdr:rowOff>
    </xdr:from>
    <xdr:to>
      <xdr:col>3</xdr:col>
      <xdr:colOff>133350</xdr:colOff>
      <xdr:row>1</xdr:row>
      <xdr:rowOff>952500</xdr:rowOff>
    </xdr:to>
    <mc:AlternateContent xmlns:mc="http://schemas.openxmlformats.org/markup-compatibility/2006" xmlns:a14="http://schemas.microsoft.com/office/drawing/2010/main">
      <mc:Choice Requires="a14">
        <xdr:graphicFrame macro="">
          <xdr:nvGraphicFramePr>
            <xdr:cNvPr id="4" name="Ano Previsto">
              <a:extLst>
                <a:ext uri="{FF2B5EF4-FFF2-40B4-BE49-F238E27FC236}">
                  <a16:creationId xmlns:a16="http://schemas.microsoft.com/office/drawing/2014/main" id="{C1EC92F8-32E9-FBE5-E7E5-5D4D107372EA}"/>
                </a:ext>
              </a:extLst>
            </xdr:cNvPr>
            <xdr:cNvGraphicFramePr/>
          </xdr:nvGraphicFramePr>
          <xdr:xfrm>
            <a:off x="0" y="0"/>
            <a:ext cx="0" cy="0"/>
          </xdr:xfrm>
          <a:graphic>
            <a:graphicData uri="http://schemas.microsoft.com/office/drawing/2010/slicer">
              <sle:slicer xmlns:sle="http://schemas.microsoft.com/office/drawing/2010/slicer" name="Ano Previsto"/>
            </a:graphicData>
          </a:graphic>
        </xdr:graphicFrame>
      </mc:Choice>
      <mc:Fallback xmlns="">
        <xdr:sp macro="" textlink="">
          <xdr:nvSpPr>
            <xdr:cNvPr id="0" name=""/>
            <xdr:cNvSpPr>
              <a:spLocks noTextEdit="1"/>
            </xdr:cNvSpPr>
          </xdr:nvSpPr>
          <xdr:spPr>
            <a:xfrm>
              <a:off x="1314450" y="504825"/>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4A958DDC-D376-4903-B9E0-CFC798BB239E}"/>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twoCellAnchor editAs="oneCell">
    <xdr:from>
      <xdr:col>3</xdr:col>
      <xdr:colOff>285749</xdr:colOff>
      <xdr:row>1</xdr:row>
      <xdr:rowOff>9525</xdr:rowOff>
    </xdr:from>
    <xdr:to>
      <xdr:col>6</xdr:col>
      <xdr:colOff>581024</xdr:colOff>
      <xdr:row>1</xdr:row>
      <xdr:rowOff>963525</xdr:rowOff>
    </xdr:to>
    <mc:AlternateContent xmlns:mc="http://schemas.openxmlformats.org/markup-compatibility/2006" xmlns:a14="http://schemas.microsoft.com/office/drawing/2010/main">
      <mc:Choice Requires="a14">
        <xdr:graphicFrame macro="">
          <xdr:nvGraphicFramePr>
            <xdr:cNvPr id="3" name="Mês Previsto 1">
              <a:extLst>
                <a:ext uri="{FF2B5EF4-FFF2-40B4-BE49-F238E27FC236}">
                  <a16:creationId xmlns:a16="http://schemas.microsoft.com/office/drawing/2014/main" id="{B6264C32-8747-8FED-A6C4-AB890D36F7D5}"/>
                </a:ext>
              </a:extLst>
            </xdr:cNvPr>
            <xdr:cNvGraphicFramePr/>
          </xdr:nvGraphicFramePr>
          <xdr:xfrm>
            <a:off x="0" y="0"/>
            <a:ext cx="0" cy="0"/>
          </xdr:xfrm>
          <a:graphic>
            <a:graphicData uri="http://schemas.microsoft.com/office/drawing/2010/slicer">
              <sle:slicer xmlns:sle="http://schemas.microsoft.com/office/drawing/2010/slicer" name="Mês Previsto 1"/>
            </a:graphicData>
          </a:graphic>
        </xdr:graphicFrame>
      </mc:Choice>
      <mc:Fallback xmlns="">
        <xdr:sp macro="" textlink="">
          <xdr:nvSpPr>
            <xdr:cNvPr id="0" name=""/>
            <xdr:cNvSpPr>
              <a:spLocks noTextEdit="1"/>
            </xdr:cNvSpPr>
          </xdr:nvSpPr>
          <xdr:spPr>
            <a:xfrm>
              <a:off x="3295649" y="514350"/>
              <a:ext cx="2638425" cy="95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1171575</xdr:colOff>
      <xdr:row>1</xdr:row>
      <xdr:rowOff>9525</xdr:rowOff>
    </xdr:from>
    <xdr:to>
      <xdr:col>3</xdr:col>
      <xdr:colOff>171450</xdr:colOff>
      <xdr:row>1</xdr:row>
      <xdr:rowOff>963525</xdr:rowOff>
    </xdr:to>
    <mc:AlternateContent xmlns:mc="http://schemas.openxmlformats.org/markup-compatibility/2006" xmlns:a14="http://schemas.microsoft.com/office/drawing/2010/main">
      <mc:Choice Requires="a14">
        <xdr:graphicFrame macro="">
          <xdr:nvGraphicFramePr>
            <xdr:cNvPr id="4" name="Ano Previsto 1">
              <a:extLst>
                <a:ext uri="{FF2B5EF4-FFF2-40B4-BE49-F238E27FC236}">
                  <a16:creationId xmlns:a16="http://schemas.microsoft.com/office/drawing/2014/main" id="{A9F3165C-5162-53D5-13DB-0A0648B99215}"/>
                </a:ext>
              </a:extLst>
            </xdr:cNvPr>
            <xdr:cNvGraphicFramePr/>
          </xdr:nvGraphicFramePr>
          <xdr:xfrm>
            <a:off x="0" y="0"/>
            <a:ext cx="0" cy="0"/>
          </xdr:xfrm>
          <a:graphic>
            <a:graphicData uri="http://schemas.microsoft.com/office/drawing/2010/slicer">
              <sle:slicer xmlns:sle="http://schemas.microsoft.com/office/drawing/2010/slicer" name="Ano Previsto 1"/>
            </a:graphicData>
          </a:graphic>
        </xdr:graphicFrame>
      </mc:Choice>
      <mc:Fallback xmlns="">
        <xdr:sp macro="" textlink="">
          <xdr:nvSpPr>
            <xdr:cNvPr id="0" name=""/>
            <xdr:cNvSpPr>
              <a:spLocks noTextEdit="1"/>
            </xdr:cNvSpPr>
          </xdr:nvSpPr>
          <xdr:spPr>
            <a:xfrm>
              <a:off x="1352550" y="514350"/>
              <a:ext cx="1828800" cy="95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34B42579-2957-4A2F-B46B-8DA0FD7CAF7C}"/>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twoCellAnchor editAs="oneCell">
    <xdr:from>
      <xdr:col>1</xdr:col>
      <xdr:colOff>1219199</xdr:colOff>
      <xdr:row>1</xdr:row>
      <xdr:rowOff>28575</xdr:rowOff>
    </xdr:from>
    <xdr:to>
      <xdr:col>4</xdr:col>
      <xdr:colOff>561975</xdr:colOff>
      <xdr:row>1</xdr:row>
      <xdr:rowOff>695325</xdr:rowOff>
    </xdr:to>
    <mc:AlternateContent xmlns:mc="http://schemas.openxmlformats.org/markup-compatibility/2006" xmlns:a14="http://schemas.microsoft.com/office/drawing/2010/main">
      <mc:Choice Requires="a14">
        <xdr:graphicFrame macro="">
          <xdr:nvGraphicFramePr>
            <xdr:cNvPr id="3" name="Ano Previsto 2">
              <a:extLst>
                <a:ext uri="{FF2B5EF4-FFF2-40B4-BE49-F238E27FC236}">
                  <a16:creationId xmlns:a16="http://schemas.microsoft.com/office/drawing/2014/main" id="{9B931F19-3FA5-FC00-E1C4-79D5A68FF963}"/>
                </a:ext>
              </a:extLst>
            </xdr:cNvPr>
            <xdr:cNvGraphicFramePr/>
          </xdr:nvGraphicFramePr>
          <xdr:xfrm>
            <a:off x="0" y="0"/>
            <a:ext cx="0" cy="0"/>
          </xdr:xfrm>
          <a:graphic>
            <a:graphicData uri="http://schemas.microsoft.com/office/drawing/2010/slicer">
              <sle:slicer xmlns:sle="http://schemas.microsoft.com/office/drawing/2010/slicer" name="Ano Previsto 2"/>
            </a:graphicData>
          </a:graphic>
        </xdr:graphicFrame>
      </mc:Choice>
      <mc:Fallback xmlns="">
        <xdr:sp macro="" textlink="">
          <xdr:nvSpPr>
            <xdr:cNvPr id="0" name=""/>
            <xdr:cNvSpPr>
              <a:spLocks noTextEdit="1"/>
            </xdr:cNvSpPr>
          </xdr:nvSpPr>
          <xdr:spPr>
            <a:xfrm>
              <a:off x="1400174" y="533400"/>
              <a:ext cx="2952751"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2C690D45-7CB8-41DA-A8D9-A371993F94E8}"/>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twoCellAnchor>
    <xdr:from>
      <xdr:col>1</xdr:col>
      <xdr:colOff>9525</xdr:colOff>
      <xdr:row>1</xdr:row>
      <xdr:rowOff>38100</xdr:rowOff>
    </xdr:from>
    <xdr:to>
      <xdr:col>1</xdr:col>
      <xdr:colOff>1066800</xdr:colOff>
      <xdr:row>1</xdr:row>
      <xdr:rowOff>342900</xdr:rowOff>
    </xdr:to>
    <xdr:sp macro="" textlink="">
      <xdr:nvSpPr>
        <xdr:cNvPr id="3" name="TextBox 2">
          <a:hlinkClick xmlns:r="http://schemas.openxmlformats.org/officeDocument/2006/relationships" r:id="rId1"/>
          <a:extLst>
            <a:ext uri="{FF2B5EF4-FFF2-40B4-BE49-F238E27FC236}">
              <a16:creationId xmlns:a16="http://schemas.microsoft.com/office/drawing/2014/main" id="{C5755902-D8CA-42EA-9C65-A805C79D3F81}"/>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twoCellAnchor>
    <xdr:from>
      <xdr:col>5</xdr:col>
      <xdr:colOff>28575</xdr:colOff>
      <xdr:row>3</xdr:row>
      <xdr:rowOff>228600</xdr:rowOff>
    </xdr:from>
    <xdr:to>
      <xdr:col>10</xdr:col>
      <xdr:colOff>0</xdr:colOff>
      <xdr:row>10</xdr:row>
      <xdr:rowOff>200025</xdr:rowOff>
    </xdr:to>
    <xdr:graphicFrame macro="">
      <xdr:nvGraphicFramePr>
        <xdr:cNvPr id="4" name="Chart 3">
          <a:extLst>
            <a:ext uri="{FF2B5EF4-FFF2-40B4-BE49-F238E27FC236}">
              <a16:creationId xmlns:a16="http://schemas.microsoft.com/office/drawing/2014/main" id="{B37A9C3F-AC4D-4E3C-91DC-EB807CC8A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2438401</xdr:colOff>
      <xdr:row>13</xdr:row>
      <xdr:rowOff>38100</xdr:rowOff>
    </xdr:from>
    <xdr:to>
      <xdr:col>3</xdr:col>
      <xdr:colOff>2457450</xdr:colOff>
      <xdr:row>18</xdr:row>
      <xdr:rowOff>180975</xdr:rowOff>
    </xdr:to>
    <xdr:graphicFrame macro="">
      <xdr:nvGraphicFramePr>
        <xdr:cNvPr id="5" name="Chart 4">
          <a:extLst>
            <a:ext uri="{FF2B5EF4-FFF2-40B4-BE49-F238E27FC236}">
              <a16:creationId xmlns:a16="http://schemas.microsoft.com/office/drawing/2014/main" id="{1231F974-40E4-4CF6-9A2E-7C15572ED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57150</xdr:colOff>
      <xdr:row>14</xdr:row>
      <xdr:rowOff>76201</xdr:rowOff>
    </xdr:from>
    <xdr:to>
      <xdr:col>8</xdr:col>
      <xdr:colOff>1838325</xdr:colOff>
      <xdr:row>18</xdr:row>
      <xdr:rowOff>142876</xdr:rowOff>
    </xdr:to>
    <xdr:graphicFrame macro="">
      <xdr:nvGraphicFramePr>
        <xdr:cNvPr id="6" name="Chart 5">
          <a:extLst>
            <a:ext uri="{FF2B5EF4-FFF2-40B4-BE49-F238E27FC236}">
              <a16:creationId xmlns:a16="http://schemas.microsoft.com/office/drawing/2014/main" id="{AD85BE50-6FD2-4398-91FB-0838DF7FA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57149</xdr:colOff>
      <xdr:row>15</xdr:row>
      <xdr:rowOff>28574</xdr:rowOff>
    </xdr:from>
    <xdr:to>
      <xdr:col>10</xdr:col>
      <xdr:colOff>2009774</xdr:colOff>
      <xdr:row>18</xdr:row>
      <xdr:rowOff>190500</xdr:rowOff>
    </xdr:to>
    <xdr:graphicFrame macro="">
      <xdr:nvGraphicFramePr>
        <xdr:cNvPr id="7" name="Chart 6">
          <a:extLst>
            <a:ext uri="{FF2B5EF4-FFF2-40B4-BE49-F238E27FC236}">
              <a16:creationId xmlns:a16="http://schemas.microsoft.com/office/drawing/2014/main" id="{FC335C75-CD60-43F0-9E06-4729D6359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9525</xdr:colOff>
      <xdr:row>1</xdr:row>
      <xdr:rowOff>38100</xdr:rowOff>
    </xdr:from>
    <xdr:to>
      <xdr:col>1</xdr:col>
      <xdr:colOff>1066800</xdr:colOff>
      <xdr:row>1</xdr:row>
      <xdr:rowOff>342900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5F0C274B-9AC5-41F0-B0A4-2D2A28E782BD}"/>
            </a:ext>
          </a:extLst>
        </xdr:cNvPr>
        <xdr:cNvSpPr txBox="1"/>
      </xdr:nvSpPr>
      <xdr:spPr>
        <a:xfrm>
          <a:off x="190500" y="542925"/>
          <a:ext cx="1057275" cy="304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alibri" panose="020F0502020204030204" pitchFamily="34" charset="0"/>
              <a:cs typeface="Calibri" panose="020F0502020204030204" pitchFamily="34" charset="0"/>
            </a:rPr>
            <a:t>ÍNICIO</a:t>
          </a:r>
        </a:p>
      </xdr:txBody>
    </xdr:sp>
    <xdr:clientData/>
  </xdr:twoCellAnchor>
  <xdr:twoCellAnchor>
    <xdr:from>
      <xdr:col>5</xdr:col>
      <xdr:colOff>28575</xdr:colOff>
      <xdr:row>3</xdr:row>
      <xdr:rowOff>228600</xdr:rowOff>
    </xdr:from>
    <xdr:to>
      <xdr:col>10</xdr:col>
      <xdr:colOff>0</xdr:colOff>
      <xdr:row>10</xdr:row>
      <xdr:rowOff>200025</xdr:rowOff>
    </xdr:to>
    <xdr:graphicFrame macro="">
      <xdr:nvGraphicFramePr>
        <xdr:cNvPr id="3" name="Chart 2">
          <a:extLst>
            <a:ext uri="{FF2B5EF4-FFF2-40B4-BE49-F238E27FC236}">
              <a16:creationId xmlns:a16="http://schemas.microsoft.com/office/drawing/2014/main" id="{80C9FB24-73C2-4FFD-BCB4-EACE299EF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2438401</xdr:colOff>
      <xdr:row>13</xdr:row>
      <xdr:rowOff>38100</xdr:rowOff>
    </xdr:from>
    <xdr:to>
      <xdr:col>3</xdr:col>
      <xdr:colOff>2457450</xdr:colOff>
      <xdr:row>18</xdr:row>
      <xdr:rowOff>180975</xdr:rowOff>
    </xdr:to>
    <xdr:graphicFrame macro="">
      <xdr:nvGraphicFramePr>
        <xdr:cNvPr id="4" name="Chart 3">
          <a:extLst>
            <a:ext uri="{FF2B5EF4-FFF2-40B4-BE49-F238E27FC236}">
              <a16:creationId xmlns:a16="http://schemas.microsoft.com/office/drawing/2014/main" id="{2491A31F-9355-4C1E-AB04-8BE6BE31F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57150</xdr:colOff>
      <xdr:row>14</xdr:row>
      <xdr:rowOff>76201</xdr:rowOff>
    </xdr:from>
    <xdr:to>
      <xdr:col>8</xdr:col>
      <xdr:colOff>1838325</xdr:colOff>
      <xdr:row>18</xdr:row>
      <xdr:rowOff>142876</xdr:rowOff>
    </xdr:to>
    <xdr:graphicFrame macro="">
      <xdr:nvGraphicFramePr>
        <xdr:cNvPr id="5" name="Chart 4">
          <a:extLst>
            <a:ext uri="{FF2B5EF4-FFF2-40B4-BE49-F238E27FC236}">
              <a16:creationId xmlns:a16="http://schemas.microsoft.com/office/drawing/2014/main" id="{413818DB-73C5-4D8D-90B3-27537D38B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57149</xdr:colOff>
      <xdr:row>15</xdr:row>
      <xdr:rowOff>28574</xdr:rowOff>
    </xdr:from>
    <xdr:to>
      <xdr:col>10</xdr:col>
      <xdr:colOff>2009774</xdr:colOff>
      <xdr:row>18</xdr:row>
      <xdr:rowOff>190500</xdr:rowOff>
    </xdr:to>
    <xdr:graphicFrame macro="">
      <xdr:nvGraphicFramePr>
        <xdr:cNvPr id="6" name="Chart 5">
          <a:extLst>
            <a:ext uri="{FF2B5EF4-FFF2-40B4-BE49-F238E27FC236}">
              <a16:creationId xmlns:a16="http://schemas.microsoft.com/office/drawing/2014/main" id="{B2C00DCE-9269-46A4-8B2A-F967E9AA3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iova\Downloads\projeto-fluxo-de-caixa-21.xlsx" TargetMode="External"/><Relationship Id="rId1" Type="http://schemas.openxmlformats.org/officeDocument/2006/relationships/externalLinkPath" Target="/Users/giova/Downloads/projeto-fluxo-de-caixa-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ício"/>
      <sheetName val="Matriz"/>
      <sheetName val="PCEntradasN1"/>
      <sheetName val="PCEntradasN2"/>
      <sheetName val="PCSaídasN1"/>
      <sheetName val="PCSaídasN2"/>
      <sheetName val="RegistroEntradas"/>
      <sheetName val="RegistroSaídas"/>
      <sheetName val="FluxoCaixaConsolidado"/>
      <sheetName val="DetalhaReceita"/>
      <sheetName val="DetalhaDespesa"/>
      <sheetName val="ContasPagar"/>
      <sheetName val="ContasReceber"/>
      <sheetName val="ContasReceberVencidas"/>
      <sheetName val="DashBoardFinanceiroAtual"/>
      <sheetName val="DashBoardFinanceiroAnual"/>
      <sheetName val="DashBoardFinanceiroAnualD"/>
      <sheetName val="projeto-fluxo-de-caixa-21"/>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353.774903703707" createdVersion="8" refreshedVersion="8" minRefreshableVersion="3" recordCount="229" xr:uid="{67D4D0D0-9B3A-4163-9078-1A8C74782E47}">
  <cacheSource type="worksheet">
    <worksheetSource name="TbRegistroSaídas"/>
  </cacheSource>
  <cacheFields count="14">
    <cacheField name="Data do Caixa Realizado" numFmtId="14">
      <sharedItems containsDate="1" containsMixedTypes="1" minDate="2017-09-02T08:36:39" maxDate="2019-07-18T15:53:56"/>
    </cacheField>
    <cacheField name="Data da Competência" numFmtId="14">
      <sharedItems containsSemiMixedTypes="0" containsNonDate="0" containsDate="1" containsString="0" minDate="2017-08-10T00:00:00" maxDate="2019-07-01T00:00:00"/>
    </cacheField>
    <cacheField name="Data do Caixa Previsto" numFmtId="14">
      <sharedItems containsSemiMixedTypes="0" containsNonDate="0" containsDate="1" containsString="0" minDate="2017-09-02T08:36:39" maxDate="2019-08-09T02:03:08"/>
    </cacheField>
    <cacheField name="Conta Nível 1" numFmtId="0">
      <sharedItems count="1">
        <s v="Compra de mercadorias"/>
      </sharedItems>
    </cacheField>
    <cacheField name="Conta Nível 2" numFmtId="0">
      <sharedItems count="5">
        <s v="Som e imagem"/>
        <s v="Vestuário"/>
        <s v="Informática"/>
        <s v="Livros"/>
        <s v="Eletrodomésticos"/>
      </sharedItems>
    </cacheField>
    <cacheField name="Histórico" numFmtId="0">
      <sharedItems/>
    </cacheField>
    <cacheField name="Valor" numFmtId="167">
      <sharedItems containsSemiMixedTypes="0" containsString="0" containsNumber="1" containsInteger="1" minValue="131" maxValue="4947"/>
    </cacheField>
    <cacheField name="Mês Caixa" numFmtId="0">
      <sharedItems containsSemiMixedTypes="0" containsString="0" containsNumber="1" containsInteger="1" minValue="0" maxValue="12" count="13">
        <n v="10"/>
        <n v="9"/>
        <n v="0"/>
        <n v="11"/>
        <n v="12"/>
        <n v="1"/>
        <n v="2"/>
        <n v="3"/>
        <n v="4"/>
        <n v="6"/>
        <n v="5"/>
        <n v="7"/>
        <n v="8"/>
      </sharedItems>
    </cacheField>
    <cacheField name="Ano Caixa" numFmtId="0">
      <sharedItems containsSemiMixedTypes="0" containsString="0" containsNumber="1" containsInteger="1" minValue="0" maxValue="2019"/>
    </cacheField>
    <cacheField name="Mês Competência" numFmtId="0">
      <sharedItems containsSemiMixedTypes="0" containsString="0" containsNumber="1" containsInteger="1" minValue="1" maxValue="12" count="12">
        <n v="8"/>
        <n v="9"/>
        <n v="10"/>
        <n v="11"/>
        <n v="12"/>
        <n v="1"/>
        <n v="2"/>
        <n v="3"/>
        <n v="4"/>
        <n v="5"/>
        <n v="6"/>
        <n v="7"/>
      </sharedItems>
    </cacheField>
    <cacheField name="Ano Competência" numFmtId="0">
      <sharedItems containsSemiMixedTypes="0" containsString="0" containsNumber="1" containsInteger="1" minValue="2017" maxValue="2019" count="3">
        <n v="2017"/>
        <n v="2018"/>
        <n v="2019"/>
      </sharedItems>
    </cacheField>
    <cacheField name="Mês Previsto" numFmtId="0">
      <sharedItems containsSemiMixedTypes="0" containsString="0" containsNumber="1" containsInteger="1" minValue="1" maxValue="12" count="12">
        <n v="10"/>
        <n v="9"/>
        <n v="11"/>
        <n v="12"/>
        <n v="1"/>
        <n v="2"/>
        <n v="3"/>
        <n v="4"/>
        <n v="5"/>
        <n v="6"/>
        <n v="7"/>
        <n v="8"/>
      </sharedItems>
    </cacheField>
    <cacheField name="Ano Previsto" numFmtId="0">
      <sharedItems containsSemiMixedTypes="0" containsString="0" containsNumber="1" containsInteger="1" minValue="2017" maxValue="2019" count="3">
        <n v="2017"/>
        <n v="2018"/>
        <n v="2019"/>
      </sharedItems>
    </cacheField>
    <cacheField name="Dias de Atraso" numFmtId="1">
      <sharedItems containsSemiMixedTypes="0" containsString="0" containsNumber="1" minValue="0" maxValue="2368.2969940987969"/>
    </cacheField>
  </cacheFields>
  <extLst>
    <ext xmlns:x14="http://schemas.microsoft.com/office/spreadsheetml/2009/9/main" uri="{725AE2AE-9491-48be-B2B4-4EB974FC3084}">
      <x14:pivotCacheDefinition pivotCacheId="16951296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353.775150462963" createdVersion="8" refreshedVersion="8" minRefreshableVersion="3" recordCount="231" xr:uid="{9FC97078-8E58-427B-813A-530CA60627B4}">
  <cacheSource type="worksheet">
    <worksheetSource name="TbRegistroEntradas"/>
  </cacheSource>
  <cacheFields count="16">
    <cacheField name="Data do Caixa Realizado" numFmtId="14">
      <sharedItems containsDate="1" containsMixedTypes="1" minDate="2017-09-07T00:00:00" maxDate="2019-10-06T00:00:00"/>
    </cacheField>
    <cacheField name="Data da Competência" numFmtId="14">
      <sharedItems containsSemiMixedTypes="0" containsNonDate="0" containsDate="1" containsString="0" minDate="2017-08-10T00:00:00" maxDate="2019-06-30T00:00:00"/>
    </cacheField>
    <cacheField name="Data do Caixa Previsto" numFmtId="14">
      <sharedItems containsSemiMixedTypes="0" containsNonDate="0" containsDate="1" containsString="0" minDate="2017-08-25T00:00:00" maxDate="2019-08-11T00:00:00"/>
    </cacheField>
    <cacheField name="Conta Nível 1" numFmtId="0">
      <sharedItems count="1">
        <s v="Vendas de mercadorias"/>
      </sharedItems>
    </cacheField>
    <cacheField name="Conta Nível 2" numFmtId="0">
      <sharedItems count="5">
        <s v="Informática"/>
        <s v="Móveis"/>
        <s v="Som e imagem"/>
        <s v="Eletrodomésticos"/>
        <s v="Livros"/>
      </sharedItems>
    </cacheField>
    <cacheField name="Histórico" numFmtId="0">
      <sharedItems/>
    </cacheField>
    <cacheField name="Valor" numFmtId="167">
      <sharedItems containsSemiMixedTypes="0" containsString="0" containsNumber="1" containsInteger="1" minValue="164" maxValue="4993"/>
    </cacheField>
    <cacheField name="Mês Caixa" numFmtId="0">
      <sharedItems containsSemiMixedTypes="0" containsString="0" containsNumber="1" containsInteger="1" minValue="0" maxValue="12" count="13">
        <n v="9"/>
        <n v="10"/>
        <n v="11"/>
        <n v="12"/>
        <n v="0"/>
        <n v="1"/>
        <n v="2"/>
        <n v="3"/>
        <n v="4"/>
        <n v="5"/>
        <n v="7"/>
        <n v="6"/>
        <n v="8"/>
      </sharedItems>
    </cacheField>
    <cacheField name="Ano Caixa" numFmtId="0">
      <sharedItems containsSemiMixedTypes="0" containsString="0" containsNumber="1" containsInteger="1" minValue="0" maxValue="2019"/>
    </cacheField>
    <cacheField name="Mês Competência" numFmtId="0">
      <sharedItems containsSemiMixedTypes="0" containsString="0" containsNumber="1" containsInteger="1" minValue="1" maxValue="12" count="12">
        <n v="8"/>
        <n v="9"/>
        <n v="10"/>
        <n v="11"/>
        <n v="12"/>
        <n v="1"/>
        <n v="2"/>
        <n v="3"/>
        <n v="4"/>
        <n v="5"/>
        <n v="6"/>
        <n v="7"/>
      </sharedItems>
    </cacheField>
    <cacheField name="Ano Competência" numFmtId="0">
      <sharedItems containsSemiMixedTypes="0" containsString="0" containsNumber="1" containsInteger="1" minValue="2017" maxValue="2019" count="3">
        <n v="2017"/>
        <n v="2018"/>
        <n v="2019"/>
      </sharedItems>
    </cacheField>
    <cacheField name="Mês Previsto" numFmtId="0">
      <sharedItems containsSemiMixedTypes="0" containsString="0" containsNumber="1" containsInteger="1" minValue="1" maxValue="12" count="12">
        <n v="8"/>
        <n v="9"/>
        <n v="10"/>
        <n v="11"/>
        <n v="1"/>
        <n v="12"/>
        <n v="2"/>
        <n v="3"/>
        <n v="4"/>
        <n v="5"/>
        <n v="6"/>
        <n v="7"/>
      </sharedItems>
    </cacheField>
    <cacheField name="Ano Previsto" numFmtId="0">
      <sharedItems containsSemiMixedTypes="0" containsString="0" containsNumber="1" containsInteger="1" minValue="2017" maxValue="2019" count="3">
        <n v="2017"/>
        <n v="2018"/>
        <n v="2019"/>
      </sharedItems>
    </cacheField>
    <cacheField name="Conta Vencida" numFmtId="0">
      <sharedItems count="2">
        <s v="Não Vencida"/>
        <s v="Vencida"/>
      </sharedItems>
    </cacheField>
    <cacheField name="Venda à Vista" numFmtId="0">
      <sharedItems/>
    </cacheField>
    <cacheField name="Dias de Atraso" numFmtId="0">
      <sharedItems containsSemiMixedTypes="0" containsString="0" containsNumber="1" containsInteger="1" minValue="0" maxValue="2340"/>
    </cacheField>
  </cacheFields>
  <extLst>
    <ext xmlns:x14="http://schemas.microsoft.com/office/spreadsheetml/2009/9/main" uri="{725AE2AE-9491-48be-B2B4-4EB974FC3084}">
      <x14:pivotCacheDefinition pivotCacheId="198895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d v="2017-10-07T16:32:18"/>
    <d v="2017-08-10T00:00:00"/>
    <d v="2017-10-07T16:32:18"/>
    <x v="0"/>
    <x v="0"/>
    <s v="NF4400"/>
    <n v="4021"/>
    <x v="0"/>
    <n v="2017"/>
    <x v="0"/>
    <x v="0"/>
    <x v="0"/>
    <x v="0"/>
    <n v="0"/>
  </r>
  <r>
    <d v="2017-09-17T19:57:23"/>
    <d v="2017-08-13T00:00:00"/>
    <d v="2017-09-17T19:57:23"/>
    <x v="0"/>
    <x v="1"/>
    <s v="NF5356"/>
    <n v="651"/>
    <x v="1"/>
    <n v="2017"/>
    <x v="0"/>
    <x v="0"/>
    <x v="1"/>
    <x v="0"/>
    <n v="0"/>
  </r>
  <r>
    <d v="2017-09-05T19:43:29"/>
    <d v="2017-08-18T00:00:00"/>
    <d v="2017-09-05T19:43:29"/>
    <x v="0"/>
    <x v="0"/>
    <s v="NF1847"/>
    <n v="131"/>
    <x v="1"/>
    <n v="2017"/>
    <x v="0"/>
    <x v="0"/>
    <x v="1"/>
    <x v="0"/>
    <n v="0"/>
  </r>
  <r>
    <d v="2017-09-26T09:36:33"/>
    <d v="2017-08-23T00:00:00"/>
    <d v="2017-09-26T09:36:33"/>
    <x v="0"/>
    <x v="0"/>
    <s v="NF7011"/>
    <n v="803"/>
    <x v="1"/>
    <n v="2017"/>
    <x v="0"/>
    <x v="0"/>
    <x v="1"/>
    <x v="0"/>
    <n v="0"/>
  </r>
  <r>
    <d v="2017-09-24T01:23:44"/>
    <d v="2017-08-24T00:00:00"/>
    <d v="2017-09-24T01:23:44"/>
    <x v="0"/>
    <x v="1"/>
    <s v="NF7746"/>
    <n v="4460"/>
    <x v="1"/>
    <n v="2017"/>
    <x v="0"/>
    <x v="0"/>
    <x v="1"/>
    <x v="0"/>
    <n v="0"/>
  </r>
  <r>
    <d v="2017-09-02T08:36:39"/>
    <d v="2017-08-25T00:00:00"/>
    <d v="2017-09-02T08:36:39"/>
    <x v="0"/>
    <x v="2"/>
    <s v="NF1507"/>
    <n v="299"/>
    <x v="1"/>
    <n v="2017"/>
    <x v="0"/>
    <x v="0"/>
    <x v="1"/>
    <x v="0"/>
    <n v="0"/>
  </r>
  <r>
    <d v="2017-10-06T14:20:21"/>
    <d v="2017-08-29T00:00:00"/>
    <d v="2017-10-06T14:20:21"/>
    <x v="0"/>
    <x v="1"/>
    <s v="NF5445"/>
    <n v="618"/>
    <x v="0"/>
    <n v="2017"/>
    <x v="0"/>
    <x v="0"/>
    <x v="0"/>
    <x v="0"/>
    <n v="0"/>
  </r>
  <r>
    <d v="2017-09-12T02:40:54"/>
    <d v="2017-09-01T00:00:00"/>
    <d v="2017-09-02T13:21:31"/>
    <x v="0"/>
    <x v="1"/>
    <s v="NF7526"/>
    <n v="2505"/>
    <x v="1"/>
    <n v="2017"/>
    <x v="1"/>
    <x v="0"/>
    <x v="1"/>
    <x v="0"/>
    <n v="9.5551236771279946"/>
  </r>
  <r>
    <d v="2017-09-09T10:01:19"/>
    <d v="2017-09-04T00:00:00"/>
    <d v="2017-09-09T10:01:19"/>
    <x v="0"/>
    <x v="0"/>
    <s v="NF7559"/>
    <n v="817"/>
    <x v="1"/>
    <n v="2017"/>
    <x v="1"/>
    <x v="0"/>
    <x v="1"/>
    <x v="0"/>
    <n v="0"/>
  </r>
  <r>
    <s v=""/>
    <d v="2017-09-06T00:00:00"/>
    <d v="2017-09-06T16:52:20"/>
    <x v="0"/>
    <x v="2"/>
    <s v="NF9357"/>
    <n v="1565"/>
    <x v="2"/>
    <n v="0"/>
    <x v="1"/>
    <x v="0"/>
    <x v="1"/>
    <x v="0"/>
    <n v="2368.2969940987969"/>
  </r>
  <r>
    <s v=""/>
    <d v="2017-09-12T00:00:00"/>
    <d v="2017-10-12T05:36:22"/>
    <x v="0"/>
    <x v="3"/>
    <s v="NF3898"/>
    <n v="1357"/>
    <x v="2"/>
    <n v="0"/>
    <x v="1"/>
    <x v="0"/>
    <x v="0"/>
    <x v="0"/>
    <n v="2332.766408007039"/>
  </r>
  <r>
    <d v="2017-09-13T00:00:00"/>
    <d v="2017-09-13T00:00:00"/>
    <d v="2017-09-13T00:00:00"/>
    <x v="0"/>
    <x v="3"/>
    <s v="NF7275"/>
    <n v="4739"/>
    <x v="1"/>
    <n v="2017"/>
    <x v="1"/>
    <x v="0"/>
    <x v="1"/>
    <x v="0"/>
    <n v="0"/>
  </r>
  <r>
    <d v="2017-09-14T00:00:00"/>
    <d v="2017-09-14T00:00:00"/>
    <d v="2017-09-14T00:00:00"/>
    <x v="0"/>
    <x v="0"/>
    <s v="NF9591"/>
    <n v="4675"/>
    <x v="1"/>
    <n v="2017"/>
    <x v="1"/>
    <x v="0"/>
    <x v="1"/>
    <x v="0"/>
    <n v="0"/>
  </r>
  <r>
    <d v="2017-09-26T03:10:09"/>
    <d v="2017-09-19T00:00:00"/>
    <d v="2017-09-26T03:10:09"/>
    <x v="0"/>
    <x v="1"/>
    <s v="NF3104"/>
    <n v="1797"/>
    <x v="1"/>
    <n v="2017"/>
    <x v="1"/>
    <x v="0"/>
    <x v="1"/>
    <x v="0"/>
    <n v="0"/>
  </r>
  <r>
    <d v="2017-11-04T23:27:43"/>
    <d v="2017-09-24T00:00:00"/>
    <d v="2017-11-04T23:27:43"/>
    <x v="0"/>
    <x v="3"/>
    <s v="NF3440"/>
    <n v="888"/>
    <x v="3"/>
    <n v="2017"/>
    <x v="1"/>
    <x v="0"/>
    <x v="2"/>
    <x v="0"/>
    <n v="0"/>
  </r>
  <r>
    <s v=""/>
    <d v="2017-09-25T00:00:00"/>
    <d v="2017-10-07T21:33:11"/>
    <x v="0"/>
    <x v="1"/>
    <s v="NF9195"/>
    <n v="2784"/>
    <x v="2"/>
    <n v="0"/>
    <x v="1"/>
    <x v="0"/>
    <x v="0"/>
    <x v="0"/>
    <n v="2337.1019547308169"/>
  </r>
  <r>
    <d v="2017-10-02T22:40:07"/>
    <d v="2017-09-25T00:00:00"/>
    <d v="2017-10-02T22:40:07"/>
    <x v="0"/>
    <x v="2"/>
    <s v="NF1821"/>
    <n v="707"/>
    <x v="0"/>
    <n v="2017"/>
    <x v="1"/>
    <x v="0"/>
    <x v="0"/>
    <x v="0"/>
    <n v="0"/>
  </r>
  <r>
    <d v="2017-11-03T14:25:06"/>
    <d v="2017-09-28T00:00:00"/>
    <d v="2017-11-03T14:25:06"/>
    <x v="0"/>
    <x v="2"/>
    <s v="NF5625"/>
    <n v="229"/>
    <x v="3"/>
    <n v="2017"/>
    <x v="1"/>
    <x v="0"/>
    <x v="2"/>
    <x v="0"/>
    <n v="0"/>
  </r>
  <r>
    <d v="2017-10-01T00:00:00"/>
    <d v="2017-10-01T00:00:00"/>
    <d v="2017-10-01T00:00:00"/>
    <x v="0"/>
    <x v="1"/>
    <s v="NF7471"/>
    <n v="2894"/>
    <x v="0"/>
    <n v="2017"/>
    <x v="2"/>
    <x v="0"/>
    <x v="0"/>
    <x v="0"/>
    <n v="0"/>
  </r>
  <r>
    <d v="2017-10-22T07:03:06"/>
    <d v="2017-10-04T00:00:00"/>
    <d v="2017-10-22T07:03:06"/>
    <x v="0"/>
    <x v="3"/>
    <s v="NF9225"/>
    <n v="4516"/>
    <x v="0"/>
    <n v="2017"/>
    <x v="2"/>
    <x v="0"/>
    <x v="0"/>
    <x v="0"/>
    <n v="0"/>
  </r>
  <r>
    <d v="2017-10-23T01:23:23"/>
    <d v="2017-10-06T00:00:00"/>
    <d v="2017-10-23T01:23:23"/>
    <x v="0"/>
    <x v="3"/>
    <s v="NF3883"/>
    <n v="885"/>
    <x v="0"/>
    <n v="2017"/>
    <x v="2"/>
    <x v="0"/>
    <x v="0"/>
    <x v="0"/>
    <n v="0"/>
  </r>
  <r>
    <d v="2017-11-07T23:41:34"/>
    <d v="2017-10-09T00:00:00"/>
    <d v="2017-11-07T23:41:34"/>
    <x v="0"/>
    <x v="4"/>
    <s v="NF9408"/>
    <n v="1509"/>
    <x v="3"/>
    <n v="2017"/>
    <x v="2"/>
    <x v="0"/>
    <x v="2"/>
    <x v="0"/>
    <n v="0"/>
  </r>
  <r>
    <d v="2017-10-14T00:00:00"/>
    <d v="2017-10-14T00:00:00"/>
    <d v="2017-10-14T00:00:00"/>
    <x v="0"/>
    <x v="1"/>
    <s v="NF1517"/>
    <n v="145"/>
    <x v="0"/>
    <n v="2017"/>
    <x v="2"/>
    <x v="0"/>
    <x v="0"/>
    <x v="0"/>
    <n v="0"/>
  </r>
  <r>
    <d v="2017-10-23T05:53:31"/>
    <d v="2017-10-16T00:00:00"/>
    <d v="2017-10-23T05:53:31"/>
    <x v="0"/>
    <x v="1"/>
    <s v="NF8626"/>
    <n v="1311"/>
    <x v="0"/>
    <n v="2017"/>
    <x v="2"/>
    <x v="0"/>
    <x v="0"/>
    <x v="0"/>
    <n v="0"/>
  </r>
  <r>
    <d v="2017-10-18T00:00:00"/>
    <d v="2017-10-18T00:00:00"/>
    <d v="2017-10-18T00:00:00"/>
    <x v="0"/>
    <x v="1"/>
    <s v="NF4936"/>
    <n v="4182"/>
    <x v="0"/>
    <n v="2017"/>
    <x v="2"/>
    <x v="0"/>
    <x v="0"/>
    <x v="0"/>
    <n v="0"/>
  </r>
  <r>
    <d v="2017-11-26T08:46:11"/>
    <d v="2017-10-24T00:00:00"/>
    <d v="2017-10-29T09:31:32"/>
    <x v="0"/>
    <x v="2"/>
    <s v="NF7062"/>
    <n v="339"/>
    <x v="3"/>
    <n v="2017"/>
    <x v="2"/>
    <x v="0"/>
    <x v="0"/>
    <x v="0"/>
    <n v="27.968504746131657"/>
  </r>
  <r>
    <d v="2017-12-02T19:13:18"/>
    <d v="2017-10-29T00:00:00"/>
    <d v="2017-11-29T04:12:14"/>
    <x v="0"/>
    <x v="4"/>
    <s v="NF3172"/>
    <n v="1788"/>
    <x v="4"/>
    <n v="2017"/>
    <x v="2"/>
    <x v="0"/>
    <x v="2"/>
    <x v="0"/>
    <n v="3.6257378596055787"/>
  </r>
  <r>
    <d v="2017-12-20T01:06:12"/>
    <d v="2017-11-03T00:00:00"/>
    <d v="2017-12-20T01:06:12"/>
    <x v="0"/>
    <x v="3"/>
    <s v="NF5821"/>
    <n v="1171"/>
    <x v="4"/>
    <n v="2017"/>
    <x v="3"/>
    <x v="0"/>
    <x v="3"/>
    <x v="0"/>
    <n v="0"/>
  </r>
  <r>
    <d v="2017-11-05T00:00:00"/>
    <d v="2017-11-05T00:00:00"/>
    <d v="2017-11-05T00:00:00"/>
    <x v="0"/>
    <x v="1"/>
    <s v="NF8137"/>
    <n v="4059"/>
    <x v="3"/>
    <n v="2017"/>
    <x v="3"/>
    <x v="0"/>
    <x v="2"/>
    <x v="0"/>
    <n v="0"/>
  </r>
  <r>
    <d v="2017-11-08T00:00:00"/>
    <d v="2017-11-08T00:00:00"/>
    <d v="2017-11-08T00:00:00"/>
    <x v="0"/>
    <x v="0"/>
    <s v="NF8083"/>
    <n v="4919"/>
    <x v="3"/>
    <n v="2017"/>
    <x v="3"/>
    <x v="0"/>
    <x v="2"/>
    <x v="0"/>
    <n v="0"/>
  </r>
  <r>
    <d v="2017-12-18T12:17:45"/>
    <d v="2017-11-12T00:00:00"/>
    <d v="2017-12-18T12:17:45"/>
    <x v="0"/>
    <x v="1"/>
    <s v="NF9597"/>
    <n v="3224"/>
    <x v="4"/>
    <n v="2017"/>
    <x v="3"/>
    <x v="0"/>
    <x v="3"/>
    <x v="0"/>
    <n v="0"/>
  </r>
  <r>
    <d v="2017-12-26T03:29:57"/>
    <d v="2017-11-15T00:00:00"/>
    <d v="2017-12-26T03:29:57"/>
    <x v="0"/>
    <x v="3"/>
    <s v="NF2065"/>
    <n v="3725"/>
    <x v="4"/>
    <n v="2017"/>
    <x v="3"/>
    <x v="0"/>
    <x v="3"/>
    <x v="0"/>
    <n v="0"/>
  </r>
  <r>
    <d v="2017-11-17T00:00:00"/>
    <d v="2017-11-17T00:00:00"/>
    <d v="2017-11-17T00:00:00"/>
    <x v="0"/>
    <x v="3"/>
    <s v="NF3192"/>
    <n v="312"/>
    <x v="3"/>
    <n v="2017"/>
    <x v="3"/>
    <x v="0"/>
    <x v="2"/>
    <x v="0"/>
    <n v="0"/>
  </r>
  <r>
    <d v="2018-01-12T16:03:24"/>
    <d v="2017-11-18T00:00:00"/>
    <d v="2018-01-12T16:03:24"/>
    <x v="0"/>
    <x v="1"/>
    <s v="NF1977"/>
    <n v="4773"/>
    <x v="5"/>
    <n v="2018"/>
    <x v="3"/>
    <x v="0"/>
    <x v="4"/>
    <x v="1"/>
    <n v="0"/>
  </r>
  <r>
    <d v="2018-01-01T16:46:57"/>
    <d v="2017-11-19T00:00:00"/>
    <d v="2017-11-19T00:00:00"/>
    <x v="0"/>
    <x v="0"/>
    <s v="NF3208"/>
    <n v="228"/>
    <x v="5"/>
    <n v="2018"/>
    <x v="3"/>
    <x v="0"/>
    <x v="2"/>
    <x v="0"/>
    <n v="43.699276392093452"/>
  </r>
  <r>
    <d v="2017-11-22T00:00:00"/>
    <d v="2017-11-22T00:00:00"/>
    <d v="2017-11-22T00:00:00"/>
    <x v="0"/>
    <x v="1"/>
    <s v="NF9545"/>
    <n v="450"/>
    <x v="3"/>
    <n v="2017"/>
    <x v="3"/>
    <x v="0"/>
    <x v="2"/>
    <x v="0"/>
    <n v="0"/>
  </r>
  <r>
    <d v="2018-01-03T09:48:25"/>
    <d v="2017-11-23T00:00:00"/>
    <d v="2018-01-03T09:48:25"/>
    <x v="0"/>
    <x v="1"/>
    <s v="NF3100"/>
    <n v="1155"/>
    <x v="5"/>
    <n v="2018"/>
    <x v="3"/>
    <x v="0"/>
    <x v="4"/>
    <x v="1"/>
    <n v="0"/>
  </r>
  <r>
    <d v="2017-12-01T00:35:34"/>
    <d v="2017-11-30T00:00:00"/>
    <d v="2017-12-01T00:35:34"/>
    <x v="0"/>
    <x v="1"/>
    <s v="NF7746"/>
    <n v="1967"/>
    <x v="4"/>
    <n v="2017"/>
    <x v="3"/>
    <x v="0"/>
    <x v="3"/>
    <x v="0"/>
    <n v="0"/>
  </r>
  <r>
    <d v="2017-12-27T02:18:23"/>
    <d v="2017-12-01T00:00:00"/>
    <d v="2017-12-27T02:18:23"/>
    <x v="0"/>
    <x v="4"/>
    <s v="NF1179"/>
    <n v="2741"/>
    <x v="4"/>
    <n v="2017"/>
    <x v="4"/>
    <x v="0"/>
    <x v="3"/>
    <x v="0"/>
    <n v="0"/>
  </r>
  <r>
    <d v="2018-01-25T08:17:33"/>
    <d v="2017-12-02T00:00:00"/>
    <d v="2018-01-25T08:17:33"/>
    <x v="0"/>
    <x v="2"/>
    <s v="NF3829"/>
    <n v="1130"/>
    <x v="5"/>
    <n v="2018"/>
    <x v="4"/>
    <x v="0"/>
    <x v="4"/>
    <x v="1"/>
    <n v="0"/>
  </r>
  <r>
    <d v="2017-12-06T00:00:00"/>
    <d v="2017-12-06T00:00:00"/>
    <d v="2017-12-06T00:00:00"/>
    <x v="0"/>
    <x v="3"/>
    <s v="NF6865"/>
    <n v="4835"/>
    <x v="4"/>
    <n v="2017"/>
    <x v="4"/>
    <x v="0"/>
    <x v="3"/>
    <x v="0"/>
    <n v="0"/>
  </r>
  <r>
    <d v="2017-12-08T00:00:00"/>
    <d v="2017-12-08T00:00:00"/>
    <d v="2017-12-08T00:00:00"/>
    <x v="0"/>
    <x v="4"/>
    <s v="NF4400"/>
    <n v="1411"/>
    <x v="4"/>
    <n v="2017"/>
    <x v="4"/>
    <x v="0"/>
    <x v="3"/>
    <x v="0"/>
    <n v="0"/>
  </r>
  <r>
    <d v="2017-12-30T15:10:06"/>
    <d v="2017-12-10T00:00:00"/>
    <d v="2017-12-30T15:10:06"/>
    <x v="0"/>
    <x v="1"/>
    <s v="NF9617"/>
    <n v="457"/>
    <x v="4"/>
    <n v="2017"/>
    <x v="4"/>
    <x v="0"/>
    <x v="3"/>
    <x v="0"/>
    <n v="0"/>
  </r>
  <r>
    <s v=""/>
    <d v="2017-12-15T00:00:00"/>
    <d v="2018-02-11T14:39:25"/>
    <x v="0"/>
    <x v="2"/>
    <s v="NF5659"/>
    <n v="2623"/>
    <x v="2"/>
    <n v="0"/>
    <x v="4"/>
    <x v="0"/>
    <x v="5"/>
    <x v="1"/>
    <n v="2210.3892939192374"/>
  </r>
  <r>
    <d v="2017-12-29T04:49:13"/>
    <d v="2017-12-17T00:00:00"/>
    <d v="2017-12-29T04:49:13"/>
    <x v="0"/>
    <x v="4"/>
    <s v="NF6102"/>
    <n v="3440"/>
    <x v="4"/>
    <n v="2017"/>
    <x v="4"/>
    <x v="0"/>
    <x v="3"/>
    <x v="0"/>
    <n v="0"/>
  </r>
  <r>
    <d v="2018-01-11T01:07:19"/>
    <d v="2017-12-20T00:00:00"/>
    <d v="2018-01-11T01:07:19"/>
    <x v="0"/>
    <x v="1"/>
    <s v="NF8162"/>
    <n v="3993"/>
    <x v="5"/>
    <n v="2018"/>
    <x v="4"/>
    <x v="0"/>
    <x v="4"/>
    <x v="1"/>
    <n v="0"/>
  </r>
  <r>
    <d v="2018-02-20T10:10:35"/>
    <d v="2017-12-21T00:00:00"/>
    <d v="2018-02-17T01:10:28"/>
    <x v="0"/>
    <x v="1"/>
    <s v="NF4573"/>
    <n v="3273"/>
    <x v="6"/>
    <n v="2018"/>
    <x v="4"/>
    <x v="0"/>
    <x v="5"/>
    <x v="1"/>
    <n v="3.3750842781955726"/>
  </r>
  <r>
    <d v="2017-12-25T00:00:00"/>
    <d v="2017-12-25T00:00:00"/>
    <d v="2017-12-25T00:00:00"/>
    <x v="0"/>
    <x v="4"/>
    <s v="NF8503"/>
    <n v="4494"/>
    <x v="4"/>
    <n v="2017"/>
    <x v="4"/>
    <x v="0"/>
    <x v="3"/>
    <x v="0"/>
    <n v="0"/>
  </r>
  <r>
    <d v="2018-01-24T22:12:42"/>
    <d v="2017-12-27T00:00:00"/>
    <d v="2018-01-24T22:12:42"/>
    <x v="0"/>
    <x v="0"/>
    <s v="NF3380"/>
    <n v="2511"/>
    <x v="5"/>
    <n v="2018"/>
    <x v="4"/>
    <x v="0"/>
    <x v="4"/>
    <x v="1"/>
    <n v="0"/>
  </r>
  <r>
    <d v="2017-12-29T00:00:00"/>
    <d v="2017-12-29T00:00:00"/>
    <d v="2017-12-29T00:00:00"/>
    <x v="0"/>
    <x v="2"/>
    <s v="NF6566"/>
    <n v="2015"/>
    <x v="4"/>
    <n v="2017"/>
    <x v="4"/>
    <x v="0"/>
    <x v="3"/>
    <x v="0"/>
    <n v="0"/>
  </r>
  <r>
    <s v=""/>
    <d v="2017-12-31T00:00:00"/>
    <d v="2018-02-20T08:29:43"/>
    <x v="0"/>
    <x v="3"/>
    <s v="NF5838"/>
    <n v="3413"/>
    <x v="2"/>
    <n v="0"/>
    <x v="4"/>
    <x v="0"/>
    <x v="5"/>
    <x v="1"/>
    <n v="2201.6460291483236"/>
  </r>
  <r>
    <d v="2018-01-08T20:21:58"/>
    <d v="2018-01-03T00:00:00"/>
    <d v="2018-01-08T20:21:58"/>
    <x v="0"/>
    <x v="0"/>
    <s v="NF1174"/>
    <n v="4087"/>
    <x v="5"/>
    <n v="2018"/>
    <x v="5"/>
    <x v="1"/>
    <x v="4"/>
    <x v="1"/>
    <n v="0"/>
  </r>
  <r>
    <d v="2018-01-17T08:55:33"/>
    <d v="2018-01-06T00:00:00"/>
    <d v="2018-01-17T08:55:33"/>
    <x v="0"/>
    <x v="1"/>
    <s v="NF2942"/>
    <n v="2441"/>
    <x v="5"/>
    <n v="2018"/>
    <x v="5"/>
    <x v="1"/>
    <x v="4"/>
    <x v="1"/>
    <n v="0"/>
  </r>
  <r>
    <s v=""/>
    <d v="2018-01-09T00:00:00"/>
    <d v="2018-01-09T00:00:00"/>
    <x v="0"/>
    <x v="2"/>
    <s v="NF8563"/>
    <n v="3598"/>
    <x v="2"/>
    <n v="0"/>
    <x v="5"/>
    <x v="1"/>
    <x v="4"/>
    <x v="1"/>
    <n v="2244"/>
  </r>
  <r>
    <d v="2018-01-10T00:00:00"/>
    <d v="2018-01-10T00:00:00"/>
    <d v="2018-01-10T00:00:00"/>
    <x v="0"/>
    <x v="1"/>
    <s v="NF8237"/>
    <n v="4895"/>
    <x v="5"/>
    <n v="2018"/>
    <x v="5"/>
    <x v="1"/>
    <x v="4"/>
    <x v="1"/>
    <n v="0"/>
  </r>
  <r>
    <s v=""/>
    <d v="2018-01-12T00:00:00"/>
    <d v="2018-01-12T00:00:00"/>
    <x v="0"/>
    <x v="1"/>
    <s v="NF4859"/>
    <n v="971"/>
    <x v="2"/>
    <n v="0"/>
    <x v="5"/>
    <x v="1"/>
    <x v="4"/>
    <x v="1"/>
    <n v="2241"/>
  </r>
  <r>
    <d v="2018-02-06T01:03:18"/>
    <d v="2018-01-13T00:00:00"/>
    <d v="2018-02-06T01:03:18"/>
    <x v="0"/>
    <x v="0"/>
    <s v="NF1529"/>
    <n v="556"/>
    <x v="6"/>
    <n v="2018"/>
    <x v="5"/>
    <x v="1"/>
    <x v="5"/>
    <x v="1"/>
    <n v="0"/>
  </r>
  <r>
    <d v="2018-02-13T21:09:50"/>
    <d v="2018-01-14T00:00:00"/>
    <d v="2018-02-13T21:09:50"/>
    <x v="0"/>
    <x v="0"/>
    <s v="NF6931"/>
    <n v="1977"/>
    <x v="6"/>
    <n v="2018"/>
    <x v="5"/>
    <x v="1"/>
    <x v="5"/>
    <x v="1"/>
    <n v="0"/>
  </r>
  <r>
    <d v="2018-01-16T00:00:00"/>
    <d v="2018-01-16T00:00:00"/>
    <d v="2018-01-16T00:00:00"/>
    <x v="0"/>
    <x v="1"/>
    <s v="NF7559"/>
    <n v="2951"/>
    <x v="5"/>
    <n v="2018"/>
    <x v="5"/>
    <x v="1"/>
    <x v="4"/>
    <x v="1"/>
    <n v="0"/>
  </r>
  <r>
    <d v="2018-02-02T03:54:16"/>
    <d v="2018-01-20T00:00:00"/>
    <d v="2018-01-20T00:00:00"/>
    <x v="0"/>
    <x v="1"/>
    <s v="NF9620"/>
    <n v="2535"/>
    <x v="6"/>
    <n v="2018"/>
    <x v="5"/>
    <x v="1"/>
    <x v="4"/>
    <x v="1"/>
    <n v="13.162680701178033"/>
  </r>
  <r>
    <d v="2018-02-10T13:54:37"/>
    <d v="2018-01-21T00:00:00"/>
    <d v="2018-02-10T13:54:37"/>
    <x v="0"/>
    <x v="4"/>
    <s v="NF4547"/>
    <n v="3057"/>
    <x v="6"/>
    <n v="2018"/>
    <x v="5"/>
    <x v="1"/>
    <x v="5"/>
    <x v="1"/>
    <n v="0"/>
  </r>
  <r>
    <d v="2018-02-09T12:37:33"/>
    <d v="2018-01-23T00:00:00"/>
    <d v="2018-02-09T12:37:33"/>
    <x v="0"/>
    <x v="0"/>
    <s v="NF6004"/>
    <n v="3152"/>
    <x v="6"/>
    <n v="2018"/>
    <x v="5"/>
    <x v="1"/>
    <x v="5"/>
    <x v="1"/>
    <n v="0"/>
  </r>
  <r>
    <s v=""/>
    <d v="2018-01-25T00:00:00"/>
    <d v="2018-01-25T00:00:00"/>
    <x v="0"/>
    <x v="3"/>
    <s v="NF3415"/>
    <n v="2247"/>
    <x v="2"/>
    <n v="0"/>
    <x v="5"/>
    <x v="1"/>
    <x v="4"/>
    <x v="1"/>
    <n v="2228"/>
  </r>
  <r>
    <d v="2018-03-19T21:04:16"/>
    <d v="2018-01-27T00:00:00"/>
    <d v="2018-01-27T00:00:00"/>
    <x v="0"/>
    <x v="2"/>
    <s v="NF1603"/>
    <n v="2456"/>
    <x v="7"/>
    <n v="2018"/>
    <x v="5"/>
    <x v="1"/>
    <x v="4"/>
    <x v="1"/>
    <n v="51.877965147497889"/>
  </r>
  <r>
    <d v="2018-04-25T16:43:40"/>
    <d v="2018-01-29T00:00:00"/>
    <d v="2018-01-29T00:00:00"/>
    <x v="0"/>
    <x v="1"/>
    <s v="NF8784"/>
    <n v="3801"/>
    <x v="8"/>
    <n v="2018"/>
    <x v="5"/>
    <x v="1"/>
    <x v="4"/>
    <x v="1"/>
    <n v="86.696985745285929"/>
  </r>
  <r>
    <d v="2018-01-31T00:00:00"/>
    <d v="2018-01-31T00:00:00"/>
    <d v="2018-01-31T00:00:00"/>
    <x v="0"/>
    <x v="0"/>
    <s v="NF1826"/>
    <n v="3049"/>
    <x v="5"/>
    <n v="2018"/>
    <x v="5"/>
    <x v="1"/>
    <x v="4"/>
    <x v="1"/>
    <n v="0"/>
  </r>
  <r>
    <s v=""/>
    <d v="2018-02-04T00:00:00"/>
    <d v="2018-02-04T00:00:00"/>
    <x v="0"/>
    <x v="4"/>
    <s v="NF7390"/>
    <n v="3255"/>
    <x v="2"/>
    <n v="0"/>
    <x v="6"/>
    <x v="1"/>
    <x v="5"/>
    <x v="1"/>
    <n v="2218"/>
  </r>
  <r>
    <d v="2018-02-05T00:00:00"/>
    <d v="2018-02-05T00:00:00"/>
    <d v="2018-02-05T00:00:00"/>
    <x v="0"/>
    <x v="1"/>
    <s v="NF7009"/>
    <n v="2074"/>
    <x v="6"/>
    <n v="2018"/>
    <x v="6"/>
    <x v="1"/>
    <x v="5"/>
    <x v="1"/>
    <n v="0"/>
  </r>
  <r>
    <d v="2018-02-06T00:00:00"/>
    <d v="2018-02-06T00:00:00"/>
    <d v="2018-02-06T00:00:00"/>
    <x v="0"/>
    <x v="1"/>
    <s v="NF7629"/>
    <n v="3606"/>
    <x v="6"/>
    <n v="2018"/>
    <x v="6"/>
    <x v="1"/>
    <x v="5"/>
    <x v="1"/>
    <n v="0"/>
  </r>
  <r>
    <d v="2018-03-18T07:54:53"/>
    <d v="2018-02-07T00:00:00"/>
    <d v="2018-03-18T07:54:53"/>
    <x v="0"/>
    <x v="2"/>
    <s v="NF2748"/>
    <n v="4867"/>
    <x v="7"/>
    <n v="2018"/>
    <x v="6"/>
    <x v="1"/>
    <x v="6"/>
    <x v="1"/>
    <n v="0"/>
  </r>
  <r>
    <d v="2018-03-16T00:06:55"/>
    <d v="2018-02-09T00:00:00"/>
    <d v="2018-03-16T00:06:55"/>
    <x v="0"/>
    <x v="3"/>
    <s v="NF5961"/>
    <n v="702"/>
    <x v="7"/>
    <n v="2018"/>
    <x v="6"/>
    <x v="1"/>
    <x v="6"/>
    <x v="1"/>
    <n v="0"/>
  </r>
  <r>
    <d v="2018-02-19T10:57:20"/>
    <d v="2018-02-14T00:00:00"/>
    <d v="2018-02-19T10:57:20"/>
    <x v="0"/>
    <x v="3"/>
    <s v="NF7680"/>
    <n v="2801"/>
    <x v="6"/>
    <n v="2018"/>
    <x v="6"/>
    <x v="1"/>
    <x v="5"/>
    <x v="1"/>
    <n v="0"/>
  </r>
  <r>
    <d v="2018-04-29T23:13:45"/>
    <d v="2018-02-15T00:00:00"/>
    <d v="2018-03-10T18:40:49"/>
    <x v="0"/>
    <x v="1"/>
    <s v="NF9629"/>
    <n v="4438"/>
    <x v="8"/>
    <n v="2018"/>
    <x v="6"/>
    <x v="1"/>
    <x v="6"/>
    <x v="1"/>
    <n v="50.189535964862444"/>
  </r>
  <r>
    <d v="2018-04-08T05:09:48"/>
    <d v="2018-02-20T00:00:00"/>
    <d v="2018-04-08T05:09:48"/>
    <x v="0"/>
    <x v="2"/>
    <s v="NF5978"/>
    <n v="3835"/>
    <x v="8"/>
    <n v="2018"/>
    <x v="6"/>
    <x v="1"/>
    <x v="7"/>
    <x v="1"/>
    <n v="0"/>
  </r>
  <r>
    <d v="2018-03-01T00:00:00"/>
    <d v="2018-03-01T00:00:00"/>
    <d v="2018-03-01T00:00:00"/>
    <x v="0"/>
    <x v="1"/>
    <s v="NF5651"/>
    <n v="3893"/>
    <x v="7"/>
    <n v="2018"/>
    <x v="7"/>
    <x v="1"/>
    <x v="6"/>
    <x v="1"/>
    <n v="0"/>
  </r>
  <r>
    <d v="2018-03-04T00:00:00"/>
    <d v="2018-03-04T00:00:00"/>
    <d v="2018-03-04T00:00:00"/>
    <x v="0"/>
    <x v="1"/>
    <s v="NF7772"/>
    <n v="1970"/>
    <x v="7"/>
    <n v="2018"/>
    <x v="7"/>
    <x v="1"/>
    <x v="6"/>
    <x v="1"/>
    <n v="0"/>
  </r>
  <r>
    <d v="2018-04-29T08:19:53"/>
    <d v="2018-03-05T00:00:00"/>
    <d v="2018-04-29T08:19:53"/>
    <x v="0"/>
    <x v="3"/>
    <s v="NF5401"/>
    <n v="729"/>
    <x v="8"/>
    <n v="2018"/>
    <x v="7"/>
    <x v="1"/>
    <x v="7"/>
    <x v="1"/>
    <n v="0"/>
  </r>
  <r>
    <d v="2018-03-29T23:02:23"/>
    <d v="2018-03-07T00:00:00"/>
    <d v="2018-03-29T23:02:23"/>
    <x v="0"/>
    <x v="2"/>
    <s v="NF9115"/>
    <n v="474"/>
    <x v="7"/>
    <n v="2018"/>
    <x v="7"/>
    <x v="1"/>
    <x v="6"/>
    <x v="1"/>
    <n v="0"/>
  </r>
  <r>
    <d v="2018-03-09T00:00:00"/>
    <d v="2018-03-09T00:00:00"/>
    <d v="2018-03-09T00:00:00"/>
    <x v="0"/>
    <x v="3"/>
    <s v="NF4115"/>
    <n v="3164"/>
    <x v="7"/>
    <n v="2018"/>
    <x v="7"/>
    <x v="1"/>
    <x v="6"/>
    <x v="1"/>
    <n v="0"/>
  </r>
  <r>
    <d v="2018-03-14T00:00:00"/>
    <d v="2018-03-14T00:00:00"/>
    <d v="2018-03-14T00:00:00"/>
    <x v="0"/>
    <x v="1"/>
    <s v="NF5683"/>
    <n v="3113"/>
    <x v="7"/>
    <n v="2018"/>
    <x v="7"/>
    <x v="1"/>
    <x v="6"/>
    <x v="1"/>
    <n v="0"/>
  </r>
  <r>
    <d v="2018-04-11T13:42:41"/>
    <d v="2018-03-17T00:00:00"/>
    <d v="2018-04-11T13:42:41"/>
    <x v="0"/>
    <x v="4"/>
    <s v="NF7027"/>
    <n v="789"/>
    <x v="8"/>
    <n v="2018"/>
    <x v="7"/>
    <x v="1"/>
    <x v="7"/>
    <x v="1"/>
    <n v="0"/>
  </r>
  <r>
    <d v="2018-06-21T09:14:40"/>
    <d v="2018-03-21T00:00:00"/>
    <d v="2018-04-01T13:26:12"/>
    <x v="0"/>
    <x v="4"/>
    <s v="NF7168"/>
    <n v="3521"/>
    <x v="9"/>
    <n v="2018"/>
    <x v="7"/>
    <x v="1"/>
    <x v="7"/>
    <x v="1"/>
    <n v="80.825334205292165"/>
  </r>
  <r>
    <d v="2018-03-28T17:37:56"/>
    <d v="2018-03-24T00:00:00"/>
    <d v="2018-03-28T17:37:56"/>
    <x v="0"/>
    <x v="1"/>
    <s v="NF4972"/>
    <n v="4947"/>
    <x v="7"/>
    <n v="2018"/>
    <x v="7"/>
    <x v="1"/>
    <x v="6"/>
    <x v="1"/>
    <n v="0"/>
  </r>
  <r>
    <d v="2018-03-25T00:00:00"/>
    <d v="2018-03-25T00:00:00"/>
    <d v="2018-03-25T00:00:00"/>
    <x v="0"/>
    <x v="4"/>
    <s v="NF7283"/>
    <n v="1527"/>
    <x v="7"/>
    <n v="2018"/>
    <x v="7"/>
    <x v="1"/>
    <x v="6"/>
    <x v="1"/>
    <n v="0"/>
  </r>
  <r>
    <d v="2018-05-14T12:32:29"/>
    <d v="2018-04-01T00:00:00"/>
    <d v="2018-05-14T12:32:29"/>
    <x v="0"/>
    <x v="4"/>
    <s v="NF6320"/>
    <n v="764"/>
    <x v="10"/>
    <n v="2018"/>
    <x v="8"/>
    <x v="1"/>
    <x v="8"/>
    <x v="1"/>
    <n v="0"/>
  </r>
  <r>
    <d v="2018-04-12T02:48:23"/>
    <d v="2018-04-03T00:00:00"/>
    <d v="2018-04-12T02:48:23"/>
    <x v="0"/>
    <x v="2"/>
    <s v="NF7850"/>
    <n v="2463"/>
    <x v="8"/>
    <n v="2018"/>
    <x v="8"/>
    <x v="1"/>
    <x v="7"/>
    <x v="1"/>
    <n v="0"/>
  </r>
  <r>
    <d v="2018-04-05T00:00:00"/>
    <d v="2018-04-05T00:00:00"/>
    <d v="2018-04-05T00:00:00"/>
    <x v="0"/>
    <x v="3"/>
    <s v="NF2420"/>
    <n v="2111"/>
    <x v="8"/>
    <n v="2018"/>
    <x v="8"/>
    <x v="1"/>
    <x v="7"/>
    <x v="1"/>
    <n v="0"/>
  </r>
  <r>
    <d v="2018-04-06T00:00:00"/>
    <d v="2018-04-06T00:00:00"/>
    <d v="2018-04-06T00:00:00"/>
    <x v="0"/>
    <x v="1"/>
    <s v="NF6764"/>
    <n v="1144"/>
    <x v="8"/>
    <n v="2018"/>
    <x v="8"/>
    <x v="1"/>
    <x v="7"/>
    <x v="1"/>
    <n v="0"/>
  </r>
  <r>
    <d v="2018-05-20T16:28:59"/>
    <d v="2018-04-10T00:00:00"/>
    <d v="2018-05-20T16:28:59"/>
    <x v="0"/>
    <x v="3"/>
    <s v="NF6382"/>
    <n v="597"/>
    <x v="10"/>
    <n v="2018"/>
    <x v="8"/>
    <x v="1"/>
    <x v="8"/>
    <x v="1"/>
    <n v="0"/>
  </r>
  <r>
    <d v="2018-04-16T00:00:00"/>
    <d v="2018-04-16T00:00:00"/>
    <d v="2018-04-16T00:00:00"/>
    <x v="0"/>
    <x v="1"/>
    <s v="NF8079"/>
    <n v="3445"/>
    <x v="8"/>
    <n v="2018"/>
    <x v="8"/>
    <x v="1"/>
    <x v="7"/>
    <x v="1"/>
    <n v="0"/>
  </r>
  <r>
    <s v=""/>
    <d v="2018-04-22T00:00:00"/>
    <d v="2018-05-02T07:19:37"/>
    <x v="0"/>
    <x v="4"/>
    <s v="NF2434"/>
    <n v="1996"/>
    <x v="2"/>
    <n v="0"/>
    <x v="8"/>
    <x v="1"/>
    <x v="8"/>
    <x v="1"/>
    <n v="2130.6947109589237"/>
  </r>
  <r>
    <d v="2018-04-28T00:00:00"/>
    <d v="2018-04-28T00:00:00"/>
    <d v="2018-04-28T00:00:00"/>
    <x v="0"/>
    <x v="3"/>
    <s v="NF3230"/>
    <n v="1254"/>
    <x v="8"/>
    <n v="2018"/>
    <x v="8"/>
    <x v="1"/>
    <x v="7"/>
    <x v="1"/>
    <n v="0"/>
  </r>
  <r>
    <d v="2018-05-03T19:21:01"/>
    <d v="2018-04-29T00:00:00"/>
    <d v="2018-05-03T19:21:01"/>
    <x v="0"/>
    <x v="3"/>
    <s v="NF8847"/>
    <n v="905"/>
    <x v="10"/>
    <n v="2018"/>
    <x v="8"/>
    <x v="1"/>
    <x v="8"/>
    <x v="1"/>
    <n v="0"/>
  </r>
  <r>
    <s v=""/>
    <d v="2018-05-02T00:00:00"/>
    <d v="2018-05-31T14:47:54"/>
    <x v="0"/>
    <x v="2"/>
    <s v="NF8053"/>
    <n v="2975"/>
    <x v="2"/>
    <n v="0"/>
    <x v="9"/>
    <x v="1"/>
    <x v="8"/>
    <x v="1"/>
    <n v="2101.3833999599156"/>
  </r>
  <r>
    <s v=""/>
    <d v="2018-05-03T00:00:00"/>
    <d v="2018-05-08T16:17:57"/>
    <x v="0"/>
    <x v="1"/>
    <s v="NF2454"/>
    <n v="4807"/>
    <x v="2"/>
    <n v="0"/>
    <x v="9"/>
    <x v="1"/>
    <x v="8"/>
    <x v="1"/>
    <n v="2124.3208662460165"/>
  </r>
  <r>
    <d v="2018-06-13T07:07:36"/>
    <d v="2018-05-10T00:00:00"/>
    <d v="2018-06-13T07:07:36"/>
    <x v="0"/>
    <x v="4"/>
    <s v="NF8252"/>
    <n v="1882"/>
    <x v="9"/>
    <n v="2018"/>
    <x v="9"/>
    <x v="1"/>
    <x v="9"/>
    <x v="1"/>
    <n v="0"/>
  </r>
  <r>
    <d v="2018-06-27T19:00:08"/>
    <d v="2018-05-15T00:00:00"/>
    <d v="2018-06-27T19:00:08"/>
    <x v="0"/>
    <x v="0"/>
    <s v="NF6573"/>
    <n v="3932"/>
    <x v="9"/>
    <n v="2018"/>
    <x v="9"/>
    <x v="1"/>
    <x v="9"/>
    <x v="1"/>
    <n v="0"/>
  </r>
  <r>
    <d v="2018-05-18T00:00:00"/>
    <d v="2018-05-18T00:00:00"/>
    <d v="2018-05-18T00:00:00"/>
    <x v="0"/>
    <x v="1"/>
    <s v="NF8780"/>
    <n v="701"/>
    <x v="10"/>
    <n v="2018"/>
    <x v="9"/>
    <x v="1"/>
    <x v="8"/>
    <x v="1"/>
    <n v="0"/>
  </r>
  <r>
    <s v=""/>
    <d v="2018-05-19T00:00:00"/>
    <d v="2018-06-27T06:00:26"/>
    <x v="0"/>
    <x v="1"/>
    <s v="NF6166"/>
    <n v="2651"/>
    <x v="2"/>
    <n v="0"/>
    <x v="9"/>
    <x v="1"/>
    <x v="9"/>
    <x v="1"/>
    <n v="2074.7496948551052"/>
  </r>
  <r>
    <d v="2018-07-01T19:37:16"/>
    <d v="2018-05-26T00:00:00"/>
    <d v="2018-07-01T19:37:16"/>
    <x v="0"/>
    <x v="1"/>
    <s v="NF8437"/>
    <n v="3792"/>
    <x v="11"/>
    <n v="2018"/>
    <x v="9"/>
    <x v="1"/>
    <x v="10"/>
    <x v="1"/>
    <n v="0"/>
  </r>
  <r>
    <d v="2018-07-25T13:16:52"/>
    <d v="2018-05-28T00:00:00"/>
    <d v="2018-07-25T13:16:52"/>
    <x v="0"/>
    <x v="0"/>
    <s v="NF6635"/>
    <n v="611"/>
    <x v="11"/>
    <n v="2018"/>
    <x v="9"/>
    <x v="1"/>
    <x v="10"/>
    <x v="1"/>
    <n v="0"/>
  </r>
  <r>
    <d v="2018-07-11T14:55:40"/>
    <d v="2018-05-31T00:00:00"/>
    <d v="2018-07-11T14:55:40"/>
    <x v="0"/>
    <x v="2"/>
    <s v="NF8734"/>
    <n v="3431"/>
    <x v="11"/>
    <n v="2018"/>
    <x v="9"/>
    <x v="1"/>
    <x v="10"/>
    <x v="1"/>
    <n v="0"/>
  </r>
  <r>
    <s v=""/>
    <d v="2018-06-02T00:00:00"/>
    <d v="2018-06-02T00:00:00"/>
    <x v="0"/>
    <x v="1"/>
    <s v="NF4208"/>
    <n v="3670"/>
    <x v="2"/>
    <n v="0"/>
    <x v="10"/>
    <x v="1"/>
    <x v="9"/>
    <x v="1"/>
    <n v="2100"/>
  </r>
  <r>
    <d v="2018-06-08T16:00:01"/>
    <d v="2018-06-04T00:00:00"/>
    <d v="2018-06-08T16:00:01"/>
    <x v="0"/>
    <x v="1"/>
    <s v="NF4923"/>
    <n v="4320"/>
    <x v="9"/>
    <n v="2018"/>
    <x v="10"/>
    <x v="1"/>
    <x v="9"/>
    <x v="1"/>
    <n v="0"/>
  </r>
  <r>
    <d v="2018-06-05T00:00:00"/>
    <d v="2018-06-05T00:00:00"/>
    <d v="2018-06-05T00:00:00"/>
    <x v="0"/>
    <x v="2"/>
    <s v="NF6782"/>
    <n v="1809"/>
    <x v="9"/>
    <n v="2018"/>
    <x v="10"/>
    <x v="1"/>
    <x v="9"/>
    <x v="1"/>
    <n v="0"/>
  </r>
  <r>
    <d v="2018-07-25T19:28:19"/>
    <d v="2018-06-07T00:00:00"/>
    <d v="2018-07-25T19:28:19"/>
    <x v="0"/>
    <x v="1"/>
    <s v="NF6280"/>
    <n v="667"/>
    <x v="11"/>
    <n v="2018"/>
    <x v="10"/>
    <x v="1"/>
    <x v="10"/>
    <x v="1"/>
    <n v="0"/>
  </r>
  <r>
    <d v="2018-06-11T00:00:00"/>
    <d v="2018-06-11T00:00:00"/>
    <d v="2018-06-11T00:00:00"/>
    <x v="0"/>
    <x v="4"/>
    <s v="NF7827"/>
    <n v="1613"/>
    <x v="9"/>
    <n v="2018"/>
    <x v="10"/>
    <x v="1"/>
    <x v="9"/>
    <x v="1"/>
    <n v="0"/>
  </r>
  <r>
    <d v="2018-07-28T05:48:11"/>
    <d v="2018-06-17T00:00:00"/>
    <d v="2018-07-28T05:48:11"/>
    <x v="0"/>
    <x v="0"/>
    <s v="NF5357"/>
    <n v="3756"/>
    <x v="11"/>
    <n v="2018"/>
    <x v="10"/>
    <x v="1"/>
    <x v="10"/>
    <x v="1"/>
    <n v="0"/>
  </r>
  <r>
    <d v="2018-06-20T00:00:00"/>
    <d v="2018-06-20T00:00:00"/>
    <d v="2018-06-20T00:00:00"/>
    <x v="0"/>
    <x v="2"/>
    <s v="NF8188"/>
    <n v="3672"/>
    <x v="9"/>
    <n v="2018"/>
    <x v="10"/>
    <x v="1"/>
    <x v="9"/>
    <x v="1"/>
    <n v="0"/>
  </r>
  <r>
    <s v=""/>
    <d v="2018-06-26T00:00:00"/>
    <d v="2018-07-07T00:58:52"/>
    <x v="0"/>
    <x v="1"/>
    <s v="NF4640"/>
    <n v="658"/>
    <x v="2"/>
    <n v="0"/>
    <x v="10"/>
    <x v="1"/>
    <x v="10"/>
    <x v="1"/>
    <n v="2064.9591200329742"/>
  </r>
  <r>
    <d v="2018-08-24T10:23:22"/>
    <d v="2018-06-29T00:00:00"/>
    <d v="2018-08-24T10:23:22"/>
    <x v="0"/>
    <x v="2"/>
    <s v="NF2293"/>
    <n v="4762"/>
    <x v="12"/>
    <n v="2018"/>
    <x v="10"/>
    <x v="1"/>
    <x v="11"/>
    <x v="1"/>
    <n v="0"/>
  </r>
  <r>
    <d v="2018-07-09T16:48:23"/>
    <d v="2018-07-02T00:00:00"/>
    <d v="2018-07-09T16:48:23"/>
    <x v="0"/>
    <x v="0"/>
    <s v="NF2933"/>
    <n v="2186"/>
    <x v="11"/>
    <n v="2018"/>
    <x v="11"/>
    <x v="1"/>
    <x v="10"/>
    <x v="1"/>
    <n v="0"/>
  </r>
  <r>
    <s v=""/>
    <d v="2018-07-03T00:00:00"/>
    <d v="2018-07-24T04:31:40"/>
    <x v="0"/>
    <x v="2"/>
    <s v="NF4384"/>
    <n v="3411"/>
    <x v="2"/>
    <n v="0"/>
    <x v="11"/>
    <x v="1"/>
    <x v="10"/>
    <x v="1"/>
    <n v="2047.8113458394218"/>
  </r>
  <r>
    <d v="2018-07-24T10:25:52"/>
    <d v="2018-07-08T00:00:00"/>
    <d v="2018-07-24T10:25:52"/>
    <x v="0"/>
    <x v="2"/>
    <s v="NF8316"/>
    <n v="2524"/>
    <x v="11"/>
    <n v="2018"/>
    <x v="11"/>
    <x v="1"/>
    <x v="10"/>
    <x v="1"/>
    <n v="0"/>
  </r>
  <r>
    <d v="2018-08-01T04:14:27"/>
    <d v="2018-07-10T00:00:00"/>
    <d v="2018-08-01T04:14:27"/>
    <x v="0"/>
    <x v="0"/>
    <s v="NF1506"/>
    <n v="1709"/>
    <x v="12"/>
    <n v="2018"/>
    <x v="11"/>
    <x v="1"/>
    <x v="11"/>
    <x v="1"/>
    <n v="0"/>
  </r>
  <r>
    <d v="2018-07-15T00:00:00"/>
    <d v="2018-07-15T00:00:00"/>
    <d v="2018-07-15T00:00:00"/>
    <x v="0"/>
    <x v="1"/>
    <s v="NF4913"/>
    <n v="3181"/>
    <x v="11"/>
    <n v="2018"/>
    <x v="11"/>
    <x v="1"/>
    <x v="10"/>
    <x v="1"/>
    <n v="0"/>
  </r>
  <r>
    <d v="2018-09-07T01:08:38"/>
    <d v="2018-07-16T00:00:00"/>
    <d v="2018-07-16T00:00:00"/>
    <x v="0"/>
    <x v="3"/>
    <s v="NF8526"/>
    <n v="1108"/>
    <x v="1"/>
    <n v="2018"/>
    <x v="11"/>
    <x v="1"/>
    <x v="10"/>
    <x v="1"/>
    <n v="53.047656635884778"/>
  </r>
  <r>
    <s v=""/>
    <d v="2018-07-17T00:00:00"/>
    <d v="2018-07-17T00:00:00"/>
    <x v="0"/>
    <x v="1"/>
    <s v="NF9873"/>
    <n v="2777"/>
    <x v="2"/>
    <n v="0"/>
    <x v="11"/>
    <x v="1"/>
    <x v="10"/>
    <x v="1"/>
    <n v="2055"/>
  </r>
  <r>
    <d v="2018-09-14T00:58:53"/>
    <d v="2018-07-19T00:00:00"/>
    <d v="2018-09-14T00:58:53"/>
    <x v="0"/>
    <x v="0"/>
    <s v="NF9870"/>
    <n v="3793"/>
    <x v="1"/>
    <n v="2018"/>
    <x v="11"/>
    <x v="1"/>
    <x v="1"/>
    <x v="1"/>
    <n v="0"/>
  </r>
  <r>
    <d v="2018-08-12T21:19:56"/>
    <d v="2018-07-21T00:00:00"/>
    <d v="2018-08-12T21:19:56"/>
    <x v="0"/>
    <x v="2"/>
    <s v="NF5563"/>
    <n v="4217"/>
    <x v="12"/>
    <n v="2018"/>
    <x v="11"/>
    <x v="1"/>
    <x v="11"/>
    <x v="1"/>
    <n v="0"/>
  </r>
  <r>
    <d v="2018-07-28T00:00:00"/>
    <d v="2018-07-28T00:00:00"/>
    <d v="2018-07-28T00:00:00"/>
    <x v="0"/>
    <x v="1"/>
    <s v="NF5510"/>
    <n v="4850"/>
    <x v="11"/>
    <n v="2018"/>
    <x v="11"/>
    <x v="1"/>
    <x v="10"/>
    <x v="1"/>
    <n v="0"/>
  </r>
  <r>
    <d v="2018-07-30T00:00:00"/>
    <d v="2018-07-30T00:00:00"/>
    <d v="2018-07-30T00:00:00"/>
    <x v="0"/>
    <x v="2"/>
    <s v="NF1440"/>
    <n v="4309"/>
    <x v="11"/>
    <n v="2018"/>
    <x v="11"/>
    <x v="1"/>
    <x v="10"/>
    <x v="1"/>
    <n v="0"/>
  </r>
  <r>
    <d v="2018-08-02T13:49:34"/>
    <d v="2018-08-01T00:00:00"/>
    <d v="2018-08-02T13:49:34"/>
    <x v="0"/>
    <x v="3"/>
    <s v="NF2709"/>
    <n v="4462"/>
    <x v="12"/>
    <n v="2018"/>
    <x v="0"/>
    <x v="1"/>
    <x v="11"/>
    <x v="1"/>
    <n v="0"/>
  </r>
  <r>
    <d v="2018-10-02T11:47:41"/>
    <d v="2018-08-07T00:00:00"/>
    <d v="2018-10-02T11:47:41"/>
    <x v="0"/>
    <x v="4"/>
    <s v="NF9886"/>
    <n v="4947"/>
    <x v="0"/>
    <n v="2018"/>
    <x v="0"/>
    <x v="1"/>
    <x v="0"/>
    <x v="1"/>
    <n v="0"/>
  </r>
  <r>
    <d v="2018-09-25T16:55:00"/>
    <d v="2018-08-10T00:00:00"/>
    <d v="2018-09-25T16:55:00"/>
    <x v="0"/>
    <x v="0"/>
    <s v="NF6993"/>
    <n v="902"/>
    <x v="1"/>
    <n v="2018"/>
    <x v="0"/>
    <x v="1"/>
    <x v="1"/>
    <x v="1"/>
    <n v="0"/>
  </r>
  <r>
    <d v="2018-09-23T20:55:42"/>
    <d v="2018-08-12T00:00:00"/>
    <d v="2018-09-23T20:55:42"/>
    <x v="0"/>
    <x v="4"/>
    <s v="NF9126"/>
    <n v="432"/>
    <x v="1"/>
    <n v="2018"/>
    <x v="0"/>
    <x v="1"/>
    <x v="1"/>
    <x v="1"/>
    <n v="0"/>
  </r>
  <r>
    <d v="2018-09-13T22:56:48"/>
    <d v="2018-08-15T00:00:00"/>
    <d v="2018-09-13T22:56:48"/>
    <x v="0"/>
    <x v="2"/>
    <s v="NF3531"/>
    <n v="4084"/>
    <x v="1"/>
    <n v="2018"/>
    <x v="0"/>
    <x v="1"/>
    <x v="1"/>
    <x v="1"/>
    <n v="0"/>
  </r>
  <r>
    <d v="2018-09-16T00:23:57"/>
    <d v="2018-08-22T00:00:00"/>
    <d v="2018-09-16T00:23:57"/>
    <x v="0"/>
    <x v="1"/>
    <s v="NF6599"/>
    <n v="1054"/>
    <x v="1"/>
    <n v="2018"/>
    <x v="0"/>
    <x v="1"/>
    <x v="1"/>
    <x v="1"/>
    <n v="0"/>
  </r>
  <r>
    <d v="2018-09-09T01:51:27"/>
    <d v="2018-08-23T00:00:00"/>
    <d v="2018-09-09T01:51:27"/>
    <x v="0"/>
    <x v="4"/>
    <s v="NF9323"/>
    <n v="4608"/>
    <x v="1"/>
    <n v="2018"/>
    <x v="0"/>
    <x v="1"/>
    <x v="1"/>
    <x v="1"/>
    <n v="0"/>
  </r>
  <r>
    <d v="2018-08-28T00:00:00"/>
    <d v="2018-08-28T00:00:00"/>
    <d v="2018-08-28T00:00:00"/>
    <x v="0"/>
    <x v="0"/>
    <s v="NF3529"/>
    <n v="1238"/>
    <x v="12"/>
    <n v="2018"/>
    <x v="0"/>
    <x v="1"/>
    <x v="11"/>
    <x v="1"/>
    <n v="0"/>
  </r>
  <r>
    <d v="2018-09-27T17:31:08"/>
    <d v="2018-09-03T00:00:00"/>
    <d v="2018-09-27T17:31:08"/>
    <x v="0"/>
    <x v="1"/>
    <s v="NF5824"/>
    <n v="1342"/>
    <x v="1"/>
    <n v="2018"/>
    <x v="1"/>
    <x v="1"/>
    <x v="1"/>
    <x v="1"/>
    <n v="0"/>
  </r>
  <r>
    <d v="2018-10-29T18:42:30"/>
    <d v="2018-09-07T00:00:00"/>
    <d v="2018-10-29T18:42:30"/>
    <x v="0"/>
    <x v="4"/>
    <s v="NF3860"/>
    <n v="2936"/>
    <x v="0"/>
    <n v="2018"/>
    <x v="1"/>
    <x v="1"/>
    <x v="0"/>
    <x v="1"/>
    <n v="0"/>
  </r>
  <r>
    <d v="2018-10-08T03:24:37"/>
    <d v="2018-09-08T00:00:00"/>
    <d v="2018-10-08T03:24:37"/>
    <x v="0"/>
    <x v="1"/>
    <s v="NF7260"/>
    <n v="875"/>
    <x v="0"/>
    <n v="2018"/>
    <x v="1"/>
    <x v="1"/>
    <x v="0"/>
    <x v="1"/>
    <n v="0"/>
  </r>
  <r>
    <s v=""/>
    <d v="2018-09-10T00:00:00"/>
    <d v="2018-09-10T00:00:00"/>
    <x v="0"/>
    <x v="3"/>
    <s v="NF2238"/>
    <n v="159"/>
    <x v="2"/>
    <n v="0"/>
    <x v="1"/>
    <x v="1"/>
    <x v="1"/>
    <x v="1"/>
    <n v="2000"/>
  </r>
  <r>
    <s v=""/>
    <d v="2018-09-15T00:00:00"/>
    <d v="2018-09-15T00:00:00"/>
    <x v="0"/>
    <x v="1"/>
    <s v="NF7342"/>
    <n v="2933"/>
    <x v="2"/>
    <n v="0"/>
    <x v="1"/>
    <x v="1"/>
    <x v="1"/>
    <x v="1"/>
    <n v="1995"/>
  </r>
  <r>
    <d v="2018-11-01T03:06:41"/>
    <d v="2018-09-15T00:00:00"/>
    <d v="2018-11-01T03:06:41"/>
    <x v="0"/>
    <x v="1"/>
    <s v="NF8517"/>
    <n v="4944"/>
    <x v="3"/>
    <n v="2018"/>
    <x v="1"/>
    <x v="1"/>
    <x v="2"/>
    <x v="1"/>
    <n v="0"/>
  </r>
  <r>
    <d v="2018-10-04T15:50:23"/>
    <d v="2018-09-19T00:00:00"/>
    <d v="2018-10-04T15:50:23"/>
    <x v="0"/>
    <x v="0"/>
    <s v="NF9366"/>
    <n v="4173"/>
    <x v="0"/>
    <n v="2018"/>
    <x v="1"/>
    <x v="1"/>
    <x v="0"/>
    <x v="1"/>
    <n v="0"/>
  </r>
  <r>
    <d v="2018-10-02T04:27:54"/>
    <d v="2018-09-24T00:00:00"/>
    <d v="2018-10-02T04:27:54"/>
    <x v="0"/>
    <x v="4"/>
    <s v="NF4973"/>
    <n v="2065"/>
    <x v="0"/>
    <n v="2018"/>
    <x v="1"/>
    <x v="1"/>
    <x v="0"/>
    <x v="1"/>
    <n v="0"/>
  </r>
  <r>
    <d v="2018-11-18T11:16:55"/>
    <d v="2018-09-28T00:00:00"/>
    <d v="2018-11-18T11:16:55"/>
    <x v="0"/>
    <x v="2"/>
    <s v="NF1111"/>
    <n v="521"/>
    <x v="3"/>
    <n v="2018"/>
    <x v="1"/>
    <x v="1"/>
    <x v="2"/>
    <x v="1"/>
    <n v="0"/>
  </r>
  <r>
    <s v=""/>
    <d v="2018-10-01T00:00:00"/>
    <d v="2018-11-13T19:50:37"/>
    <x v="0"/>
    <x v="2"/>
    <s v="NF8344"/>
    <n v="819"/>
    <x v="2"/>
    <n v="0"/>
    <x v="2"/>
    <x v="1"/>
    <x v="2"/>
    <x v="1"/>
    <n v="1935.1731844121605"/>
  </r>
  <r>
    <d v="2018-10-04T00:00:00"/>
    <d v="2018-10-04T00:00:00"/>
    <d v="2018-10-04T00:00:00"/>
    <x v="0"/>
    <x v="0"/>
    <s v="NF8750"/>
    <n v="1260"/>
    <x v="0"/>
    <n v="2018"/>
    <x v="2"/>
    <x v="1"/>
    <x v="0"/>
    <x v="1"/>
    <n v="0"/>
  </r>
  <r>
    <d v="2018-10-16T21:21:41"/>
    <d v="2018-10-10T00:00:00"/>
    <d v="2018-10-16T21:21:41"/>
    <x v="0"/>
    <x v="4"/>
    <s v="NF7616"/>
    <n v="2998"/>
    <x v="0"/>
    <n v="2018"/>
    <x v="2"/>
    <x v="1"/>
    <x v="0"/>
    <x v="1"/>
    <n v="0"/>
  </r>
  <r>
    <d v="2019-01-03T01:35:05"/>
    <d v="2018-10-12T00:00:00"/>
    <d v="2018-10-31T01:07:14"/>
    <x v="0"/>
    <x v="4"/>
    <s v="NF3536"/>
    <n v="4287"/>
    <x v="5"/>
    <n v="2019"/>
    <x v="2"/>
    <x v="1"/>
    <x v="0"/>
    <x v="1"/>
    <n v="64.019338108373631"/>
  </r>
  <r>
    <d v="2018-12-14T08:19:27"/>
    <d v="2018-10-14T00:00:00"/>
    <d v="2018-10-14T00:00:00"/>
    <x v="0"/>
    <x v="3"/>
    <s v="NF9376"/>
    <n v="2015"/>
    <x v="4"/>
    <n v="2018"/>
    <x v="2"/>
    <x v="1"/>
    <x v="0"/>
    <x v="1"/>
    <n v="61.346841421080171"/>
  </r>
  <r>
    <d v="2018-12-15T05:05:06"/>
    <d v="2018-10-20T00:00:00"/>
    <d v="2018-12-15T05:05:06"/>
    <x v="0"/>
    <x v="3"/>
    <s v="NF1222"/>
    <n v="3369"/>
    <x v="4"/>
    <n v="2018"/>
    <x v="2"/>
    <x v="1"/>
    <x v="3"/>
    <x v="1"/>
    <n v="0"/>
  </r>
  <r>
    <d v="2018-10-21T00:00:00"/>
    <d v="2018-10-21T00:00:00"/>
    <d v="2018-10-21T00:00:00"/>
    <x v="0"/>
    <x v="1"/>
    <s v="NF3914"/>
    <n v="4851"/>
    <x v="0"/>
    <n v="2018"/>
    <x v="2"/>
    <x v="1"/>
    <x v="0"/>
    <x v="1"/>
    <n v="0"/>
  </r>
  <r>
    <d v="2018-12-15T00:19:24"/>
    <d v="2018-10-25T00:00:00"/>
    <d v="2018-12-15T00:19:24"/>
    <x v="0"/>
    <x v="1"/>
    <s v="NF7447"/>
    <n v="2178"/>
    <x v="4"/>
    <n v="2018"/>
    <x v="2"/>
    <x v="1"/>
    <x v="3"/>
    <x v="1"/>
    <n v="0"/>
  </r>
  <r>
    <d v="2018-11-20T01:29:21"/>
    <d v="2018-10-27T00:00:00"/>
    <d v="2018-11-20T01:29:21"/>
    <x v="0"/>
    <x v="3"/>
    <s v="NF5088"/>
    <n v="4052"/>
    <x v="3"/>
    <n v="2018"/>
    <x v="2"/>
    <x v="1"/>
    <x v="2"/>
    <x v="1"/>
    <n v="0"/>
  </r>
  <r>
    <d v="2018-10-30T00:00:00"/>
    <d v="2018-10-30T00:00:00"/>
    <d v="2018-10-30T00:00:00"/>
    <x v="0"/>
    <x v="4"/>
    <s v="NF7858"/>
    <n v="2864"/>
    <x v="0"/>
    <n v="2018"/>
    <x v="2"/>
    <x v="1"/>
    <x v="0"/>
    <x v="1"/>
    <n v="0"/>
  </r>
  <r>
    <d v="2018-12-27T21:24:18"/>
    <d v="2018-11-01T00:00:00"/>
    <d v="2018-12-27T21:24:18"/>
    <x v="0"/>
    <x v="1"/>
    <s v="NF7692"/>
    <n v="2425"/>
    <x v="4"/>
    <n v="2018"/>
    <x v="3"/>
    <x v="1"/>
    <x v="3"/>
    <x v="1"/>
    <n v="0"/>
  </r>
  <r>
    <d v="2019-01-01T13:15:07"/>
    <d v="2018-11-03T00:00:00"/>
    <d v="2019-01-01T13:15:07"/>
    <x v="0"/>
    <x v="4"/>
    <s v="NF7390"/>
    <n v="1542"/>
    <x v="5"/>
    <n v="2019"/>
    <x v="3"/>
    <x v="1"/>
    <x v="4"/>
    <x v="2"/>
    <n v="0"/>
  </r>
  <r>
    <d v="2018-12-12T17:38:41"/>
    <d v="2018-11-08T00:00:00"/>
    <d v="2018-12-12T17:38:41"/>
    <x v="0"/>
    <x v="1"/>
    <s v="NF6262"/>
    <n v="1736"/>
    <x v="4"/>
    <n v="2018"/>
    <x v="3"/>
    <x v="1"/>
    <x v="3"/>
    <x v="1"/>
    <n v="0"/>
  </r>
  <r>
    <d v="2019-01-20T12:32:21"/>
    <d v="2018-11-11T00:00:00"/>
    <d v="2019-01-09T16:18:40"/>
    <x v="0"/>
    <x v="2"/>
    <s v="NF9573"/>
    <n v="1628"/>
    <x v="5"/>
    <n v="2019"/>
    <x v="3"/>
    <x v="1"/>
    <x v="4"/>
    <x v="2"/>
    <n v="10.842838779855811"/>
  </r>
  <r>
    <s v=""/>
    <d v="2018-11-13T00:00:00"/>
    <d v="2018-11-13T00:00:00"/>
    <x v="0"/>
    <x v="1"/>
    <s v="NF8087"/>
    <n v="3853"/>
    <x v="2"/>
    <n v="0"/>
    <x v="3"/>
    <x v="1"/>
    <x v="2"/>
    <x v="1"/>
    <n v="1936"/>
  </r>
  <r>
    <d v="2018-12-17T04:53:47"/>
    <d v="2018-11-17T00:00:00"/>
    <d v="2018-12-17T04:53:47"/>
    <x v="0"/>
    <x v="2"/>
    <s v="NF5909"/>
    <n v="883"/>
    <x v="4"/>
    <n v="2018"/>
    <x v="3"/>
    <x v="1"/>
    <x v="3"/>
    <x v="1"/>
    <n v="0"/>
  </r>
  <r>
    <d v="2018-11-27T23:06:18"/>
    <d v="2018-11-17T00:00:00"/>
    <d v="2018-11-17T00:00:00"/>
    <x v="0"/>
    <x v="1"/>
    <s v="NF4172"/>
    <n v="976"/>
    <x v="3"/>
    <n v="2018"/>
    <x v="3"/>
    <x v="1"/>
    <x v="2"/>
    <x v="1"/>
    <n v="10.962708370338078"/>
  </r>
  <r>
    <d v="2018-11-20T00:00:00"/>
    <d v="2018-11-20T00:00:00"/>
    <d v="2018-11-20T00:00:00"/>
    <x v="0"/>
    <x v="2"/>
    <s v="NF8957"/>
    <n v="2663"/>
    <x v="3"/>
    <n v="2018"/>
    <x v="3"/>
    <x v="1"/>
    <x v="2"/>
    <x v="1"/>
    <n v="0"/>
  </r>
  <r>
    <d v="2018-11-26T22:53:14"/>
    <d v="2018-11-26T00:00:00"/>
    <d v="2018-11-26T22:53:14"/>
    <x v="0"/>
    <x v="1"/>
    <s v="NF2981"/>
    <n v="4888"/>
    <x v="3"/>
    <n v="2018"/>
    <x v="3"/>
    <x v="1"/>
    <x v="2"/>
    <x v="1"/>
    <n v="0"/>
  </r>
  <r>
    <d v="2018-11-29T00:00:00"/>
    <d v="2018-11-29T00:00:00"/>
    <d v="2018-11-29T00:00:00"/>
    <x v="0"/>
    <x v="2"/>
    <s v="NF5104"/>
    <n v="2030"/>
    <x v="3"/>
    <n v="2018"/>
    <x v="3"/>
    <x v="1"/>
    <x v="2"/>
    <x v="1"/>
    <n v="0"/>
  </r>
  <r>
    <d v="2019-01-20T19:42:08"/>
    <d v="2018-12-02T00:00:00"/>
    <d v="2019-01-20T19:42:08"/>
    <x v="0"/>
    <x v="1"/>
    <s v="NF3942"/>
    <n v="2117"/>
    <x v="5"/>
    <n v="2019"/>
    <x v="4"/>
    <x v="1"/>
    <x v="4"/>
    <x v="2"/>
    <n v="0"/>
  </r>
  <r>
    <d v="2019-01-29T18:00:06"/>
    <d v="2018-12-04T00:00:00"/>
    <d v="2019-01-29T18:00:06"/>
    <x v="0"/>
    <x v="1"/>
    <s v="NF6376"/>
    <n v="1236"/>
    <x v="5"/>
    <n v="2019"/>
    <x v="4"/>
    <x v="1"/>
    <x v="4"/>
    <x v="2"/>
    <n v="0"/>
  </r>
  <r>
    <d v="2018-12-31T17:55:32"/>
    <d v="2018-12-09T00:00:00"/>
    <d v="2018-12-31T17:55:32"/>
    <x v="0"/>
    <x v="1"/>
    <s v="NF7518"/>
    <n v="426"/>
    <x v="4"/>
    <n v="2018"/>
    <x v="4"/>
    <x v="1"/>
    <x v="3"/>
    <x v="1"/>
    <n v="0"/>
  </r>
  <r>
    <d v="2018-12-10T00:00:00"/>
    <d v="2018-12-10T00:00:00"/>
    <d v="2018-12-10T00:00:00"/>
    <x v="0"/>
    <x v="4"/>
    <s v="NF5359"/>
    <n v="3956"/>
    <x v="4"/>
    <n v="2018"/>
    <x v="4"/>
    <x v="1"/>
    <x v="3"/>
    <x v="1"/>
    <n v="0"/>
  </r>
  <r>
    <s v=""/>
    <d v="2018-12-14T00:00:00"/>
    <d v="2019-01-15T17:55:39"/>
    <x v="0"/>
    <x v="1"/>
    <s v="NF5153"/>
    <n v="3042"/>
    <x v="2"/>
    <n v="0"/>
    <x v="4"/>
    <x v="1"/>
    <x v="4"/>
    <x v="2"/>
    <n v="1872.2530222151472"/>
  </r>
  <r>
    <d v="2018-12-15T00:00:00"/>
    <d v="2018-12-15T00:00:00"/>
    <d v="2018-12-15T00:00:00"/>
    <x v="0"/>
    <x v="1"/>
    <s v="NF3127"/>
    <n v="1434"/>
    <x v="4"/>
    <n v="2018"/>
    <x v="4"/>
    <x v="1"/>
    <x v="3"/>
    <x v="1"/>
    <n v="0"/>
  </r>
  <r>
    <d v="2019-01-22T04:31:20"/>
    <d v="2018-12-18T00:00:00"/>
    <d v="2019-01-22T04:31:20"/>
    <x v="0"/>
    <x v="0"/>
    <s v="NF7641"/>
    <n v="1782"/>
    <x v="5"/>
    <n v="2019"/>
    <x v="4"/>
    <x v="1"/>
    <x v="4"/>
    <x v="2"/>
    <n v="0"/>
  </r>
  <r>
    <d v="2019-02-18T09:40:35"/>
    <d v="2018-12-25T00:00:00"/>
    <d v="2019-02-18T09:40:35"/>
    <x v="0"/>
    <x v="1"/>
    <s v="NF2758"/>
    <n v="365"/>
    <x v="6"/>
    <n v="2019"/>
    <x v="4"/>
    <x v="1"/>
    <x v="5"/>
    <x v="2"/>
    <n v="0"/>
  </r>
  <r>
    <d v="2019-01-26T16:18:05"/>
    <d v="2018-12-27T00:00:00"/>
    <d v="2019-01-26T16:18:05"/>
    <x v="0"/>
    <x v="1"/>
    <s v="NF9279"/>
    <n v="2757"/>
    <x v="5"/>
    <n v="2019"/>
    <x v="4"/>
    <x v="1"/>
    <x v="4"/>
    <x v="2"/>
    <n v="0"/>
  </r>
  <r>
    <d v="2019-02-19T04:57:57"/>
    <d v="2018-12-30T00:00:00"/>
    <d v="2019-02-19T04:57:57"/>
    <x v="0"/>
    <x v="0"/>
    <s v="NF2386"/>
    <n v="2112"/>
    <x v="6"/>
    <n v="2019"/>
    <x v="4"/>
    <x v="1"/>
    <x v="5"/>
    <x v="2"/>
    <n v="0"/>
  </r>
  <r>
    <d v="2019-01-02T00:00:00"/>
    <d v="2019-01-02T00:00:00"/>
    <d v="2019-01-02T00:00:00"/>
    <x v="0"/>
    <x v="0"/>
    <s v="NF6751"/>
    <n v="2190"/>
    <x v="5"/>
    <n v="2019"/>
    <x v="5"/>
    <x v="2"/>
    <x v="4"/>
    <x v="2"/>
    <n v="0"/>
  </r>
  <r>
    <d v="2019-01-20T15:24:57"/>
    <d v="2019-01-04T00:00:00"/>
    <d v="2019-01-20T15:24:57"/>
    <x v="0"/>
    <x v="1"/>
    <s v="NF9460"/>
    <n v="2998"/>
    <x v="5"/>
    <n v="2019"/>
    <x v="5"/>
    <x v="2"/>
    <x v="4"/>
    <x v="2"/>
    <n v="0"/>
  </r>
  <r>
    <d v="2019-02-05T00:47:03"/>
    <d v="2019-01-11T00:00:00"/>
    <d v="2019-02-05T00:47:03"/>
    <x v="0"/>
    <x v="1"/>
    <s v="NF5556"/>
    <n v="3808"/>
    <x v="6"/>
    <n v="2019"/>
    <x v="5"/>
    <x v="2"/>
    <x v="5"/>
    <x v="2"/>
    <n v="0"/>
  </r>
  <r>
    <d v="2019-04-14T01:39:50"/>
    <d v="2019-01-14T00:00:00"/>
    <d v="2019-01-30T11:29:38"/>
    <x v="0"/>
    <x v="1"/>
    <s v="NF4918"/>
    <n v="4928"/>
    <x v="8"/>
    <n v="2019"/>
    <x v="5"/>
    <x v="2"/>
    <x v="4"/>
    <x v="2"/>
    <n v="73.590424444082601"/>
  </r>
  <r>
    <d v="2019-01-17T00:00:00"/>
    <d v="2019-01-17T00:00:00"/>
    <d v="2019-01-17T00:00:00"/>
    <x v="0"/>
    <x v="0"/>
    <s v="NF1763"/>
    <n v="4179"/>
    <x v="5"/>
    <n v="2019"/>
    <x v="5"/>
    <x v="2"/>
    <x v="4"/>
    <x v="2"/>
    <n v="0"/>
  </r>
  <r>
    <d v="2019-02-03T23:50:40"/>
    <d v="2019-01-19T00:00:00"/>
    <d v="2019-02-03T23:50:40"/>
    <x v="0"/>
    <x v="4"/>
    <s v="NF2024"/>
    <n v="4896"/>
    <x v="6"/>
    <n v="2019"/>
    <x v="5"/>
    <x v="2"/>
    <x v="5"/>
    <x v="2"/>
    <n v="0"/>
  </r>
  <r>
    <d v="2019-01-22T00:00:00"/>
    <d v="2019-01-22T00:00:00"/>
    <d v="2019-01-22T00:00:00"/>
    <x v="0"/>
    <x v="0"/>
    <s v="NF8079"/>
    <n v="4092"/>
    <x v="5"/>
    <n v="2019"/>
    <x v="5"/>
    <x v="2"/>
    <x v="4"/>
    <x v="2"/>
    <n v="0"/>
  </r>
  <r>
    <d v="2019-01-27T00:00:00"/>
    <d v="2019-01-27T00:00:00"/>
    <d v="2019-01-27T00:00:00"/>
    <x v="0"/>
    <x v="1"/>
    <s v="NF6383"/>
    <n v="2956"/>
    <x v="5"/>
    <n v="2019"/>
    <x v="5"/>
    <x v="2"/>
    <x v="4"/>
    <x v="2"/>
    <n v="0"/>
  </r>
  <r>
    <s v=""/>
    <d v="2019-01-31T00:00:00"/>
    <d v="2019-02-13T18:40:14"/>
    <x v="0"/>
    <x v="0"/>
    <s v="NF3919"/>
    <n v="533"/>
    <x v="2"/>
    <n v="0"/>
    <x v="5"/>
    <x v="2"/>
    <x v="5"/>
    <x v="2"/>
    <n v="1843.2220600146975"/>
  </r>
  <r>
    <d v="2019-02-24T17:32:07"/>
    <d v="2019-02-01T00:00:00"/>
    <d v="2019-02-24T17:32:07"/>
    <x v="0"/>
    <x v="2"/>
    <s v="NF1390"/>
    <n v="3519"/>
    <x v="6"/>
    <n v="2019"/>
    <x v="6"/>
    <x v="2"/>
    <x v="5"/>
    <x v="2"/>
    <n v="0"/>
  </r>
  <r>
    <d v="2019-02-03T00:00:00"/>
    <d v="2019-02-03T00:00:00"/>
    <d v="2019-02-03T00:00:00"/>
    <x v="0"/>
    <x v="4"/>
    <s v="NF2500"/>
    <n v="757"/>
    <x v="6"/>
    <n v="2019"/>
    <x v="6"/>
    <x v="2"/>
    <x v="5"/>
    <x v="2"/>
    <n v="0"/>
  </r>
  <r>
    <s v=""/>
    <d v="2019-02-07T00:00:00"/>
    <d v="2019-02-07T00:00:00"/>
    <x v="0"/>
    <x v="1"/>
    <s v="NF2427"/>
    <n v="2688"/>
    <x v="2"/>
    <n v="0"/>
    <x v="6"/>
    <x v="2"/>
    <x v="5"/>
    <x v="2"/>
    <n v="1850"/>
  </r>
  <r>
    <d v="2019-02-09T00:00:00"/>
    <d v="2019-02-09T00:00:00"/>
    <d v="2019-02-09T00:00:00"/>
    <x v="0"/>
    <x v="3"/>
    <s v="NF4680"/>
    <n v="340"/>
    <x v="6"/>
    <n v="2019"/>
    <x v="6"/>
    <x v="2"/>
    <x v="5"/>
    <x v="2"/>
    <n v="0"/>
  </r>
  <r>
    <d v="2019-02-12T14:13:18"/>
    <d v="2019-02-10T00:00:00"/>
    <d v="2019-02-12T14:13:18"/>
    <x v="0"/>
    <x v="3"/>
    <s v="NF7019"/>
    <n v="4204"/>
    <x v="6"/>
    <n v="2019"/>
    <x v="6"/>
    <x v="2"/>
    <x v="5"/>
    <x v="2"/>
    <n v="0"/>
  </r>
  <r>
    <d v="2019-03-31T06:50:37"/>
    <d v="2019-02-12T00:00:00"/>
    <d v="2019-03-31T06:50:37"/>
    <x v="0"/>
    <x v="2"/>
    <s v="NF4961"/>
    <n v="3695"/>
    <x v="7"/>
    <n v="2019"/>
    <x v="6"/>
    <x v="2"/>
    <x v="6"/>
    <x v="2"/>
    <n v="0"/>
  </r>
  <r>
    <d v="2019-02-21T00:00:00"/>
    <d v="2019-02-21T00:00:00"/>
    <d v="2019-02-21T00:00:00"/>
    <x v="0"/>
    <x v="0"/>
    <s v="NF4608"/>
    <n v="4148"/>
    <x v="6"/>
    <n v="2019"/>
    <x v="6"/>
    <x v="2"/>
    <x v="5"/>
    <x v="2"/>
    <n v="0"/>
  </r>
  <r>
    <s v=""/>
    <d v="2019-02-25T00:00:00"/>
    <d v="2019-02-25T00:00:00"/>
    <x v="0"/>
    <x v="1"/>
    <s v="NF1913"/>
    <n v="4303"/>
    <x v="2"/>
    <n v="0"/>
    <x v="6"/>
    <x v="2"/>
    <x v="5"/>
    <x v="2"/>
    <n v="1832"/>
  </r>
  <r>
    <d v="2019-03-07T17:42:59"/>
    <d v="2019-02-27T00:00:00"/>
    <d v="2019-03-07T17:42:59"/>
    <x v="0"/>
    <x v="3"/>
    <s v="NF5844"/>
    <n v="2674"/>
    <x v="7"/>
    <n v="2019"/>
    <x v="6"/>
    <x v="2"/>
    <x v="6"/>
    <x v="2"/>
    <n v="0"/>
  </r>
  <r>
    <d v="2019-04-14T20:03:15"/>
    <d v="2019-03-02T00:00:00"/>
    <d v="2019-04-14T20:03:15"/>
    <x v="0"/>
    <x v="4"/>
    <s v="NF7813"/>
    <n v="1720"/>
    <x v="8"/>
    <n v="2019"/>
    <x v="7"/>
    <x v="2"/>
    <x v="7"/>
    <x v="2"/>
    <n v="0"/>
  </r>
  <r>
    <d v="2019-04-12T18:11:29"/>
    <d v="2019-03-06T00:00:00"/>
    <d v="2019-04-12T18:11:29"/>
    <x v="0"/>
    <x v="4"/>
    <s v="NF6780"/>
    <n v="1854"/>
    <x v="8"/>
    <n v="2019"/>
    <x v="7"/>
    <x v="2"/>
    <x v="7"/>
    <x v="2"/>
    <n v="0"/>
  </r>
  <r>
    <d v="2019-03-08T00:00:00"/>
    <d v="2019-03-08T00:00:00"/>
    <d v="2019-03-08T00:00:00"/>
    <x v="0"/>
    <x v="1"/>
    <s v="NF9599"/>
    <n v="2568"/>
    <x v="7"/>
    <n v="2019"/>
    <x v="7"/>
    <x v="2"/>
    <x v="6"/>
    <x v="2"/>
    <n v="0"/>
  </r>
  <r>
    <s v=""/>
    <d v="2019-03-08T00:00:00"/>
    <d v="2019-04-17T14:18:26"/>
    <x v="0"/>
    <x v="1"/>
    <s v="NF8659"/>
    <n v="3690"/>
    <x v="2"/>
    <n v="0"/>
    <x v="7"/>
    <x v="2"/>
    <x v="7"/>
    <x v="2"/>
    <n v="1780.4038651563169"/>
  </r>
  <r>
    <d v="2019-04-15T12:56:12"/>
    <d v="2019-03-10T00:00:00"/>
    <d v="2019-04-15T12:56:12"/>
    <x v="0"/>
    <x v="0"/>
    <s v="NF4652"/>
    <n v="3746"/>
    <x v="8"/>
    <n v="2019"/>
    <x v="7"/>
    <x v="2"/>
    <x v="7"/>
    <x v="2"/>
    <n v="0"/>
  </r>
  <r>
    <d v="2019-03-12T00:00:00"/>
    <d v="2019-03-12T00:00:00"/>
    <d v="2019-03-12T00:00:00"/>
    <x v="0"/>
    <x v="4"/>
    <s v="NF3068"/>
    <n v="4360"/>
    <x v="7"/>
    <n v="2019"/>
    <x v="7"/>
    <x v="2"/>
    <x v="6"/>
    <x v="2"/>
    <n v="0"/>
  </r>
  <r>
    <d v="2019-04-21T09:02:46"/>
    <d v="2019-03-13T00:00:00"/>
    <d v="2019-04-21T09:02:46"/>
    <x v="0"/>
    <x v="0"/>
    <s v="NF7141"/>
    <n v="1753"/>
    <x v="8"/>
    <n v="2019"/>
    <x v="7"/>
    <x v="2"/>
    <x v="7"/>
    <x v="2"/>
    <n v="0"/>
  </r>
  <r>
    <d v="2019-03-19T15:46:35"/>
    <d v="2019-03-16T00:00:00"/>
    <d v="2019-03-19T15:46:35"/>
    <x v="0"/>
    <x v="4"/>
    <s v="NF3366"/>
    <n v="1421"/>
    <x v="7"/>
    <n v="2019"/>
    <x v="7"/>
    <x v="2"/>
    <x v="6"/>
    <x v="2"/>
    <n v="0"/>
  </r>
  <r>
    <d v="2019-03-19T00:00:00"/>
    <d v="2019-03-19T00:00:00"/>
    <d v="2019-03-19T00:00:00"/>
    <x v="0"/>
    <x v="0"/>
    <s v="NF8853"/>
    <n v="3565"/>
    <x v="7"/>
    <n v="2019"/>
    <x v="7"/>
    <x v="2"/>
    <x v="6"/>
    <x v="2"/>
    <n v="0"/>
  </r>
  <r>
    <d v="2019-05-01T11:33:58"/>
    <d v="2019-03-22T00:00:00"/>
    <d v="2019-05-01T11:33:58"/>
    <x v="0"/>
    <x v="1"/>
    <s v="NF7681"/>
    <n v="1961"/>
    <x v="10"/>
    <n v="2019"/>
    <x v="7"/>
    <x v="2"/>
    <x v="8"/>
    <x v="2"/>
    <n v="0"/>
  </r>
  <r>
    <d v="2019-03-27T00:00:00"/>
    <d v="2019-03-27T00:00:00"/>
    <d v="2019-03-27T00:00:00"/>
    <x v="0"/>
    <x v="3"/>
    <s v="NF1441"/>
    <n v="4854"/>
    <x v="7"/>
    <n v="2019"/>
    <x v="7"/>
    <x v="2"/>
    <x v="6"/>
    <x v="2"/>
    <n v="0"/>
  </r>
  <r>
    <d v="2019-04-02T00:00:00"/>
    <d v="2019-04-02T00:00:00"/>
    <d v="2019-04-02T00:00:00"/>
    <x v="0"/>
    <x v="4"/>
    <s v="NF9964"/>
    <n v="3453"/>
    <x v="8"/>
    <n v="2019"/>
    <x v="8"/>
    <x v="2"/>
    <x v="7"/>
    <x v="2"/>
    <n v="0"/>
  </r>
  <r>
    <d v="2019-04-05T19:38:36"/>
    <d v="2019-04-03T00:00:00"/>
    <d v="2019-04-05T19:38:36"/>
    <x v="0"/>
    <x v="1"/>
    <s v="NF9101"/>
    <n v="3341"/>
    <x v="8"/>
    <n v="2019"/>
    <x v="8"/>
    <x v="2"/>
    <x v="7"/>
    <x v="2"/>
    <n v="0"/>
  </r>
  <r>
    <s v=""/>
    <d v="2019-04-06T00:00:00"/>
    <d v="2019-05-20T20:46:13"/>
    <x v="0"/>
    <x v="3"/>
    <s v="NF3185"/>
    <n v="2707"/>
    <x v="2"/>
    <n v="0"/>
    <x v="8"/>
    <x v="2"/>
    <x v="8"/>
    <x v="2"/>
    <n v="1747.1345687918583"/>
  </r>
  <r>
    <d v="2019-07-01T17:24:55"/>
    <d v="2019-04-08T00:00:00"/>
    <d v="2019-05-18T16:24:37"/>
    <x v="0"/>
    <x v="1"/>
    <s v="NF2836"/>
    <n v="1582"/>
    <x v="11"/>
    <n v="2019"/>
    <x v="8"/>
    <x v="2"/>
    <x v="8"/>
    <x v="2"/>
    <n v="44.041873787820805"/>
  </r>
  <r>
    <d v="2019-04-23T14:56:16"/>
    <d v="2019-04-10T00:00:00"/>
    <d v="2019-04-10T00:00:00"/>
    <x v="0"/>
    <x v="1"/>
    <s v="NF7779"/>
    <n v="3889"/>
    <x v="8"/>
    <n v="2019"/>
    <x v="8"/>
    <x v="2"/>
    <x v="7"/>
    <x v="2"/>
    <n v="13.622411172735156"/>
  </r>
  <r>
    <d v="2019-04-29T13:39:41"/>
    <d v="2019-04-14T00:00:00"/>
    <d v="2019-04-29T13:39:41"/>
    <x v="0"/>
    <x v="1"/>
    <s v="NF5919"/>
    <n v="2303"/>
    <x v="8"/>
    <n v="2019"/>
    <x v="8"/>
    <x v="2"/>
    <x v="7"/>
    <x v="2"/>
    <n v="0"/>
  </r>
  <r>
    <d v="2019-04-17T00:00:00"/>
    <d v="2019-04-17T00:00:00"/>
    <d v="2019-04-17T00:00:00"/>
    <x v="0"/>
    <x v="2"/>
    <s v="NF1620"/>
    <n v="802"/>
    <x v="8"/>
    <n v="2019"/>
    <x v="8"/>
    <x v="2"/>
    <x v="7"/>
    <x v="2"/>
    <n v="0"/>
  </r>
  <r>
    <s v=""/>
    <d v="2019-04-19T00:00:00"/>
    <d v="2019-05-04T05:35:47"/>
    <x v="0"/>
    <x v="1"/>
    <s v="NF3801"/>
    <n v="4513"/>
    <x v="2"/>
    <n v="0"/>
    <x v="8"/>
    <x v="2"/>
    <x v="8"/>
    <x v="2"/>
    <n v="1763.7668152320839"/>
  </r>
  <r>
    <d v="2019-05-01T20:46:57"/>
    <d v="2019-04-21T00:00:00"/>
    <d v="2019-05-01T20:46:57"/>
    <x v="0"/>
    <x v="1"/>
    <s v="NF8086"/>
    <n v="3908"/>
    <x v="10"/>
    <n v="2019"/>
    <x v="8"/>
    <x v="2"/>
    <x v="8"/>
    <x v="2"/>
    <n v="0"/>
  </r>
  <r>
    <d v="2019-07-15T01:28:23"/>
    <d v="2019-04-25T00:00:00"/>
    <d v="2019-06-19T00:39:03"/>
    <x v="0"/>
    <x v="1"/>
    <s v="NF4964"/>
    <n v="156"/>
    <x v="11"/>
    <n v="2019"/>
    <x v="8"/>
    <x v="2"/>
    <x v="9"/>
    <x v="2"/>
    <n v="26.034254724429047"/>
  </r>
  <r>
    <d v="2019-06-06T02:43:25"/>
    <d v="2019-04-27T00:00:00"/>
    <d v="2019-06-06T02:43:25"/>
    <x v="0"/>
    <x v="2"/>
    <s v="NF6112"/>
    <n v="457"/>
    <x v="9"/>
    <n v="2019"/>
    <x v="8"/>
    <x v="2"/>
    <x v="9"/>
    <x v="2"/>
    <n v="0"/>
  </r>
  <r>
    <d v="2019-06-08T00:38:19"/>
    <d v="2019-05-03T00:00:00"/>
    <d v="2019-06-08T00:38:19"/>
    <x v="0"/>
    <x v="1"/>
    <s v="NF2333"/>
    <n v="3536"/>
    <x v="9"/>
    <n v="2019"/>
    <x v="9"/>
    <x v="2"/>
    <x v="9"/>
    <x v="2"/>
    <n v="0"/>
  </r>
  <r>
    <d v="2019-05-10T16:48:12"/>
    <d v="2019-05-05T00:00:00"/>
    <d v="2019-05-10T16:48:12"/>
    <x v="0"/>
    <x v="1"/>
    <s v="NF7121"/>
    <n v="1809"/>
    <x v="10"/>
    <n v="2019"/>
    <x v="9"/>
    <x v="2"/>
    <x v="8"/>
    <x v="2"/>
    <n v="0"/>
  </r>
  <r>
    <d v="2019-05-28T17:06:40"/>
    <d v="2019-05-06T00:00:00"/>
    <d v="2019-05-28T17:06:40"/>
    <x v="0"/>
    <x v="2"/>
    <s v="NF8208"/>
    <n v="4172"/>
    <x v="10"/>
    <n v="2019"/>
    <x v="9"/>
    <x v="2"/>
    <x v="8"/>
    <x v="2"/>
    <n v="0"/>
  </r>
  <r>
    <d v="2019-06-07T11:58:12"/>
    <d v="2019-05-07T00:00:00"/>
    <d v="2019-06-07T11:58:12"/>
    <x v="0"/>
    <x v="2"/>
    <s v="NF1320"/>
    <n v="3827"/>
    <x v="9"/>
    <n v="2019"/>
    <x v="9"/>
    <x v="2"/>
    <x v="9"/>
    <x v="2"/>
    <n v="0"/>
  </r>
  <r>
    <d v="2019-06-29T04:30:50"/>
    <d v="2019-05-09T00:00:00"/>
    <d v="2019-06-29T04:30:50"/>
    <x v="0"/>
    <x v="2"/>
    <s v="NF9162"/>
    <n v="1700"/>
    <x v="9"/>
    <n v="2019"/>
    <x v="9"/>
    <x v="2"/>
    <x v="9"/>
    <x v="2"/>
    <n v="0"/>
  </r>
  <r>
    <d v="2019-05-29T18:19:47"/>
    <d v="2019-05-10T00:00:00"/>
    <d v="2019-05-29T18:19:47"/>
    <x v="0"/>
    <x v="2"/>
    <s v="NF1497"/>
    <n v="2090"/>
    <x v="10"/>
    <n v="2019"/>
    <x v="9"/>
    <x v="2"/>
    <x v="8"/>
    <x v="2"/>
    <n v="0"/>
  </r>
  <r>
    <d v="2019-05-13T00:00:00"/>
    <d v="2019-05-13T00:00:00"/>
    <d v="2019-05-13T00:00:00"/>
    <x v="0"/>
    <x v="0"/>
    <s v="NF8398"/>
    <n v="3230"/>
    <x v="10"/>
    <n v="2019"/>
    <x v="9"/>
    <x v="2"/>
    <x v="8"/>
    <x v="2"/>
    <n v="0"/>
  </r>
  <r>
    <d v="2019-05-16T00:00:00"/>
    <d v="2019-05-16T00:00:00"/>
    <d v="2019-05-16T00:00:00"/>
    <x v="0"/>
    <x v="1"/>
    <s v="NF1274"/>
    <n v="4030"/>
    <x v="10"/>
    <n v="2019"/>
    <x v="9"/>
    <x v="2"/>
    <x v="8"/>
    <x v="2"/>
    <n v="0"/>
  </r>
  <r>
    <d v="2019-05-19T00:00:00"/>
    <d v="2019-05-19T00:00:00"/>
    <d v="2019-05-19T00:00:00"/>
    <x v="0"/>
    <x v="0"/>
    <s v="NF1599"/>
    <n v="1367"/>
    <x v="10"/>
    <n v="2019"/>
    <x v="9"/>
    <x v="2"/>
    <x v="8"/>
    <x v="2"/>
    <n v="0"/>
  </r>
  <r>
    <d v="2019-06-10T05:29:09"/>
    <d v="2019-05-22T00:00:00"/>
    <d v="2019-06-10T05:29:09"/>
    <x v="0"/>
    <x v="1"/>
    <s v="NF6880"/>
    <n v="3945"/>
    <x v="9"/>
    <n v="2019"/>
    <x v="9"/>
    <x v="2"/>
    <x v="9"/>
    <x v="2"/>
    <n v="0"/>
  </r>
  <r>
    <d v="2019-05-25T00:00:00"/>
    <d v="2019-05-25T00:00:00"/>
    <d v="2019-05-25T00:00:00"/>
    <x v="0"/>
    <x v="4"/>
    <s v="NF3246"/>
    <n v="4518"/>
    <x v="10"/>
    <n v="2019"/>
    <x v="9"/>
    <x v="2"/>
    <x v="8"/>
    <x v="2"/>
    <n v="0"/>
  </r>
  <r>
    <s v=""/>
    <d v="2019-05-29T00:00:00"/>
    <d v="2019-06-29T12:11:45"/>
    <x v="0"/>
    <x v="1"/>
    <s v="NF4547"/>
    <n v="3086"/>
    <x v="2"/>
    <n v="0"/>
    <x v="9"/>
    <x v="2"/>
    <x v="9"/>
    <x v="2"/>
    <n v="1707.4918459382388"/>
  </r>
  <r>
    <d v="2019-06-12T23:15:53"/>
    <d v="2019-06-03T00:00:00"/>
    <d v="2019-06-12T23:15:53"/>
    <x v="0"/>
    <x v="2"/>
    <s v="NF5900"/>
    <n v="297"/>
    <x v="9"/>
    <n v="2019"/>
    <x v="10"/>
    <x v="2"/>
    <x v="9"/>
    <x v="2"/>
    <n v="0"/>
  </r>
  <r>
    <d v="2019-06-23T04:37:25"/>
    <d v="2019-06-07T00:00:00"/>
    <d v="2019-06-23T04:37:25"/>
    <x v="0"/>
    <x v="0"/>
    <s v="NF2566"/>
    <n v="3226"/>
    <x v="9"/>
    <n v="2019"/>
    <x v="10"/>
    <x v="2"/>
    <x v="9"/>
    <x v="2"/>
    <n v="0"/>
  </r>
  <r>
    <d v="2019-06-09T00:00:00"/>
    <d v="2019-06-09T00:00:00"/>
    <d v="2019-06-09T00:00:00"/>
    <x v="0"/>
    <x v="1"/>
    <s v="NF1823"/>
    <n v="2338"/>
    <x v="9"/>
    <n v="2019"/>
    <x v="10"/>
    <x v="2"/>
    <x v="9"/>
    <x v="2"/>
    <n v="0"/>
  </r>
  <r>
    <d v="2019-07-18T15:53:56"/>
    <d v="2019-06-16T00:00:00"/>
    <d v="2019-07-18T15:53:56"/>
    <x v="0"/>
    <x v="0"/>
    <s v="NF9109"/>
    <n v="3773"/>
    <x v="11"/>
    <n v="2019"/>
    <x v="10"/>
    <x v="2"/>
    <x v="10"/>
    <x v="2"/>
    <n v="0"/>
  </r>
  <r>
    <s v=""/>
    <d v="2019-06-19T00:00:00"/>
    <d v="2019-08-09T02:03:08"/>
    <x v="0"/>
    <x v="0"/>
    <s v="NF4812"/>
    <n v="2759"/>
    <x v="2"/>
    <n v="0"/>
    <x v="10"/>
    <x v="2"/>
    <x v="11"/>
    <x v="2"/>
    <n v="1666.9144901164909"/>
  </r>
  <r>
    <d v="2019-06-21T00:00:00"/>
    <d v="2019-06-21T00:00:00"/>
    <d v="2019-06-21T00:00:00"/>
    <x v="0"/>
    <x v="0"/>
    <s v="NF9082"/>
    <n v="1425"/>
    <x v="9"/>
    <n v="2019"/>
    <x v="10"/>
    <x v="2"/>
    <x v="9"/>
    <x v="2"/>
    <n v="0"/>
  </r>
  <r>
    <d v="2019-06-23T00:00:00"/>
    <d v="2019-06-23T00:00:00"/>
    <d v="2019-06-23T00:00:00"/>
    <x v="0"/>
    <x v="0"/>
    <s v="NF3611"/>
    <n v="332"/>
    <x v="9"/>
    <n v="2019"/>
    <x v="10"/>
    <x v="2"/>
    <x v="9"/>
    <x v="2"/>
    <n v="0"/>
  </r>
  <r>
    <d v="2019-07-07T04:41:45"/>
    <d v="2019-06-30T00:00:00"/>
    <d v="2019-07-07T04:41:45"/>
    <x v="0"/>
    <x v="1"/>
    <s v="NF4931"/>
    <n v="2819"/>
    <x v="11"/>
    <n v="2019"/>
    <x v="10"/>
    <x v="2"/>
    <x v="10"/>
    <x v="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
  <r>
    <d v="2017-09-16T00:00:00"/>
    <d v="2017-08-10T00:00:00"/>
    <d v="2017-08-25T00:00:00"/>
    <x v="0"/>
    <x v="0"/>
    <s v="NF7238"/>
    <n v="1133"/>
    <x v="0"/>
    <n v="2017"/>
    <x v="0"/>
    <x v="0"/>
    <x v="0"/>
    <x v="0"/>
    <x v="0"/>
    <s v="Prazo"/>
    <n v="22"/>
  </r>
  <r>
    <d v="2017-09-07T00:00:00"/>
    <d v="2017-08-13T00:00:00"/>
    <d v="2017-09-07T00:00:00"/>
    <x v="0"/>
    <x v="1"/>
    <s v="NF9147"/>
    <n v="164"/>
    <x v="0"/>
    <n v="2017"/>
    <x v="0"/>
    <x v="0"/>
    <x v="1"/>
    <x v="0"/>
    <x v="0"/>
    <s v="Prazo"/>
    <n v="0"/>
  </r>
  <r>
    <d v="2017-09-29T00:00:00"/>
    <d v="2017-08-17T00:00:00"/>
    <d v="2017-09-23T00:00:00"/>
    <x v="0"/>
    <x v="1"/>
    <s v="NF8005"/>
    <n v="2937"/>
    <x v="0"/>
    <n v="2017"/>
    <x v="0"/>
    <x v="0"/>
    <x v="1"/>
    <x v="0"/>
    <x v="0"/>
    <s v="Prazo"/>
    <n v="6"/>
  </r>
  <r>
    <d v="2017-10-12T00:00:00"/>
    <d v="2017-08-22T00:00:00"/>
    <d v="2017-10-12T00:00:00"/>
    <x v="0"/>
    <x v="2"/>
    <s v="NF5493"/>
    <n v="807"/>
    <x v="1"/>
    <n v="2017"/>
    <x v="0"/>
    <x v="0"/>
    <x v="2"/>
    <x v="0"/>
    <x v="0"/>
    <s v="Prazo"/>
    <n v="0"/>
  </r>
  <r>
    <d v="2017-10-06T00:00:00"/>
    <d v="2017-08-25T00:00:00"/>
    <d v="2017-10-06T00:00:00"/>
    <x v="0"/>
    <x v="0"/>
    <s v="NF7946"/>
    <n v="2612"/>
    <x v="1"/>
    <n v="2017"/>
    <x v="0"/>
    <x v="0"/>
    <x v="2"/>
    <x v="0"/>
    <x v="0"/>
    <s v="Prazo"/>
    <n v="0"/>
  </r>
  <r>
    <d v="2017-11-15T00:00:00"/>
    <d v="2017-08-27T00:00:00"/>
    <d v="2017-10-22T00:00:00"/>
    <x v="0"/>
    <x v="1"/>
    <s v="NF8598"/>
    <n v="2483"/>
    <x v="2"/>
    <n v="2017"/>
    <x v="0"/>
    <x v="0"/>
    <x v="2"/>
    <x v="0"/>
    <x v="0"/>
    <s v="Prazo"/>
    <n v="24"/>
  </r>
  <r>
    <d v="2017-12-18T00:00:00"/>
    <d v="2017-09-01T00:00:00"/>
    <d v="2017-10-01T00:00:00"/>
    <x v="0"/>
    <x v="0"/>
    <s v="NF1535"/>
    <n v="4387"/>
    <x v="3"/>
    <n v="2017"/>
    <x v="1"/>
    <x v="0"/>
    <x v="2"/>
    <x v="0"/>
    <x v="0"/>
    <s v="Prazo"/>
    <n v="78"/>
  </r>
  <r>
    <d v="2017-09-26T00:00:00"/>
    <d v="2017-09-02T00:00:00"/>
    <d v="2017-09-26T00:00:00"/>
    <x v="0"/>
    <x v="1"/>
    <s v="NF4333"/>
    <n v="4268"/>
    <x v="0"/>
    <n v="2017"/>
    <x v="1"/>
    <x v="0"/>
    <x v="1"/>
    <x v="0"/>
    <x v="0"/>
    <s v="Prazo"/>
    <n v="0"/>
  </r>
  <r>
    <d v="2017-10-07T00:00:00"/>
    <d v="2017-09-06T00:00:00"/>
    <d v="2017-10-07T00:00:00"/>
    <x v="0"/>
    <x v="1"/>
    <s v="NF8091"/>
    <n v="3761"/>
    <x v="1"/>
    <n v="2017"/>
    <x v="1"/>
    <x v="0"/>
    <x v="2"/>
    <x v="0"/>
    <x v="0"/>
    <s v="Prazo"/>
    <n v="0"/>
  </r>
  <r>
    <s v=""/>
    <d v="2017-09-10T00:00:00"/>
    <d v="2017-10-05T00:00:00"/>
    <x v="0"/>
    <x v="1"/>
    <s v="NF2421"/>
    <n v="4983"/>
    <x v="4"/>
    <n v="0"/>
    <x v="1"/>
    <x v="0"/>
    <x v="2"/>
    <x v="0"/>
    <x v="1"/>
    <s v="Prazo"/>
    <n v="2340"/>
  </r>
  <r>
    <d v="2017-09-19T00:00:00"/>
    <d v="2017-09-12T00:00:00"/>
    <d v="2017-09-19T00:00:00"/>
    <x v="0"/>
    <x v="3"/>
    <s v="NF9787"/>
    <n v="2502"/>
    <x v="0"/>
    <n v="2017"/>
    <x v="1"/>
    <x v="0"/>
    <x v="1"/>
    <x v="0"/>
    <x v="0"/>
    <s v="Prazo"/>
    <n v="0"/>
  </r>
  <r>
    <d v="2017-09-24T00:00:00"/>
    <d v="2017-09-16T00:00:00"/>
    <d v="2017-09-24T00:00:00"/>
    <x v="0"/>
    <x v="1"/>
    <s v="NF8674"/>
    <n v="2337"/>
    <x v="0"/>
    <n v="2017"/>
    <x v="1"/>
    <x v="0"/>
    <x v="1"/>
    <x v="0"/>
    <x v="0"/>
    <s v="Prazo"/>
    <n v="0"/>
  </r>
  <r>
    <d v="2017-09-23T00:00:00"/>
    <d v="2017-09-23T00:00:00"/>
    <d v="2017-09-23T00:00:00"/>
    <x v="0"/>
    <x v="4"/>
    <s v="NF5880"/>
    <n v="3125"/>
    <x v="0"/>
    <n v="2017"/>
    <x v="1"/>
    <x v="0"/>
    <x v="1"/>
    <x v="0"/>
    <x v="0"/>
    <s v="Vista"/>
    <n v="0"/>
  </r>
  <r>
    <d v="2017-11-17T00:00:00"/>
    <d v="2017-09-26T00:00:00"/>
    <d v="2017-11-17T00:00:00"/>
    <x v="0"/>
    <x v="1"/>
    <s v="NF2763"/>
    <n v="1201"/>
    <x v="2"/>
    <n v="2017"/>
    <x v="1"/>
    <x v="0"/>
    <x v="3"/>
    <x v="0"/>
    <x v="0"/>
    <s v="Prazo"/>
    <n v="0"/>
  </r>
  <r>
    <d v="2017-10-10T00:00:00"/>
    <d v="2017-09-27T00:00:00"/>
    <d v="2017-10-10T00:00:00"/>
    <x v="0"/>
    <x v="0"/>
    <s v="NF3303"/>
    <n v="4380"/>
    <x v="1"/>
    <n v="2017"/>
    <x v="1"/>
    <x v="0"/>
    <x v="2"/>
    <x v="0"/>
    <x v="0"/>
    <s v="Prazo"/>
    <n v="0"/>
  </r>
  <r>
    <d v="2017-10-11T00:00:00"/>
    <d v="2017-09-30T00:00:00"/>
    <d v="2017-10-11T00:00:00"/>
    <x v="0"/>
    <x v="4"/>
    <s v="NF3966"/>
    <n v="919"/>
    <x v="1"/>
    <n v="2017"/>
    <x v="1"/>
    <x v="0"/>
    <x v="2"/>
    <x v="0"/>
    <x v="0"/>
    <s v="Prazo"/>
    <n v="0"/>
  </r>
  <r>
    <d v="2017-12-07T00:00:00"/>
    <d v="2017-10-04T00:00:00"/>
    <d v="2017-10-17T00:00:00"/>
    <x v="0"/>
    <x v="2"/>
    <s v="NF6107"/>
    <n v="4590"/>
    <x v="3"/>
    <n v="2017"/>
    <x v="2"/>
    <x v="0"/>
    <x v="2"/>
    <x v="0"/>
    <x v="0"/>
    <s v="Prazo"/>
    <n v="51"/>
  </r>
  <r>
    <d v="2017-11-13T00:00:00"/>
    <d v="2017-10-07T00:00:00"/>
    <d v="2017-11-13T00:00:00"/>
    <x v="0"/>
    <x v="3"/>
    <s v="NF4832"/>
    <n v="1958"/>
    <x v="2"/>
    <n v="2017"/>
    <x v="2"/>
    <x v="0"/>
    <x v="3"/>
    <x v="0"/>
    <x v="0"/>
    <s v="Prazo"/>
    <n v="0"/>
  </r>
  <r>
    <d v="2017-11-04T00:00:00"/>
    <d v="2017-10-09T00:00:00"/>
    <d v="2017-11-04T00:00:00"/>
    <x v="0"/>
    <x v="0"/>
    <s v="NF5012"/>
    <n v="1171"/>
    <x v="2"/>
    <n v="2017"/>
    <x v="2"/>
    <x v="0"/>
    <x v="3"/>
    <x v="0"/>
    <x v="0"/>
    <s v="Prazo"/>
    <n v="0"/>
  </r>
  <r>
    <d v="2017-11-21T00:00:00"/>
    <d v="2017-10-11T00:00:00"/>
    <d v="2017-11-21T00:00:00"/>
    <x v="0"/>
    <x v="1"/>
    <s v="NF7669"/>
    <n v="2587"/>
    <x v="2"/>
    <n v="2017"/>
    <x v="2"/>
    <x v="0"/>
    <x v="3"/>
    <x v="0"/>
    <x v="0"/>
    <s v="Prazo"/>
    <n v="0"/>
  </r>
  <r>
    <s v=""/>
    <d v="2017-10-15T00:00:00"/>
    <d v="2017-11-06T00:00:00"/>
    <x v="0"/>
    <x v="1"/>
    <s v="NF7663"/>
    <n v="3425"/>
    <x v="4"/>
    <n v="0"/>
    <x v="2"/>
    <x v="0"/>
    <x v="3"/>
    <x v="0"/>
    <x v="1"/>
    <s v="Prazo"/>
    <n v="2308"/>
  </r>
  <r>
    <d v="2018-01-13T00:00:00"/>
    <d v="2017-10-18T00:00:00"/>
    <d v="2017-10-18T00:00:00"/>
    <x v="0"/>
    <x v="2"/>
    <s v="NF4063"/>
    <n v="4454"/>
    <x v="5"/>
    <n v="2018"/>
    <x v="2"/>
    <x v="0"/>
    <x v="2"/>
    <x v="0"/>
    <x v="0"/>
    <s v="Vista"/>
    <n v="87"/>
  </r>
  <r>
    <d v="2017-10-22T00:00:00"/>
    <d v="2017-10-22T00:00:00"/>
    <d v="2017-10-22T00:00:00"/>
    <x v="0"/>
    <x v="0"/>
    <s v="NF4290"/>
    <n v="2134"/>
    <x v="1"/>
    <n v="2017"/>
    <x v="2"/>
    <x v="0"/>
    <x v="2"/>
    <x v="0"/>
    <x v="0"/>
    <s v="Vista"/>
    <n v="0"/>
  </r>
  <r>
    <d v="2017-10-24T00:00:00"/>
    <d v="2017-10-24T00:00:00"/>
    <d v="2017-10-24T00:00:00"/>
    <x v="0"/>
    <x v="3"/>
    <s v="NF7319"/>
    <n v="257"/>
    <x v="1"/>
    <n v="2017"/>
    <x v="2"/>
    <x v="0"/>
    <x v="2"/>
    <x v="0"/>
    <x v="0"/>
    <s v="Vista"/>
    <n v="0"/>
  </r>
  <r>
    <d v="2018-01-22T00:00:00"/>
    <d v="2017-10-24T00:00:00"/>
    <d v="2017-11-29T00:00:00"/>
    <x v="0"/>
    <x v="4"/>
    <s v="NF7020"/>
    <n v="2019"/>
    <x v="5"/>
    <n v="2018"/>
    <x v="2"/>
    <x v="0"/>
    <x v="3"/>
    <x v="0"/>
    <x v="0"/>
    <s v="Prazo"/>
    <n v="54"/>
  </r>
  <r>
    <d v="2017-10-26T00:00:00"/>
    <d v="2017-10-26T00:00:00"/>
    <d v="2017-10-26T00:00:00"/>
    <x v="0"/>
    <x v="1"/>
    <s v="NF7221"/>
    <n v="3696"/>
    <x v="1"/>
    <n v="2017"/>
    <x v="2"/>
    <x v="0"/>
    <x v="2"/>
    <x v="0"/>
    <x v="0"/>
    <s v="Vista"/>
    <n v="0"/>
  </r>
  <r>
    <d v="2017-11-13T00:00:00"/>
    <d v="2017-10-30T00:00:00"/>
    <d v="2017-11-13T00:00:00"/>
    <x v="0"/>
    <x v="4"/>
    <s v="NF5004"/>
    <n v="4446"/>
    <x v="2"/>
    <n v="2017"/>
    <x v="2"/>
    <x v="0"/>
    <x v="3"/>
    <x v="0"/>
    <x v="0"/>
    <s v="Prazo"/>
    <n v="0"/>
  </r>
  <r>
    <s v=""/>
    <d v="2017-11-01T00:00:00"/>
    <d v="2017-11-18T00:00:00"/>
    <x v="0"/>
    <x v="4"/>
    <s v="NF8690"/>
    <n v="1445"/>
    <x v="4"/>
    <n v="0"/>
    <x v="3"/>
    <x v="0"/>
    <x v="3"/>
    <x v="0"/>
    <x v="1"/>
    <s v="Prazo"/>
    <n v="2296"/>
  </r>
  <r>
    <d v="2018-01-17T00:00:00"/>
    <d v="2017-11-04T00:00:00"/>
    <d v="2017-11-29T00:00:00"/>
    <x v="0"/>
    <x v="0"/>
    <s v="NF3424"/>
    <n v="3559"/>
    <x v="5"/>
    <n v="2018"/>
    <x v="3"/>
    <x v="0"/>
    <x v="3"/>
    <x v="0"/>
    <x v="0"/>
    <s v="Prazo"/>
    <n v="49"/>
  </r>
  <r>
    <d v="2017-11-08T00:00:00"/>
    <d v="2017-11-08T00:00:00"/>
    <d v="2017-11-08T00:00:00"/>
    <x v="0"/>
    <x v="1"/>
    <s v="NF5808"/>
    <n v="547"/>
    <x v="2"/>
    <n v="2017"/>
    <x v="3"/>
    <x v="0"/>
    <x v="3"/>
    <x v="0"/>
    <x v="0"/>
    <s v="Vista"/>
    <n v="0"/>
  </r>
  <r>
    <d v="2017-12-08T00:00:00"/>
    <d v="2017-11-12T00:00:00"/>
    <d v="2017-11-12T00:00:00"/>
    <x v="0"/>
    <x v="1"/>
    <s v="NF2852"/>
    <n v="1221"/>
    <x v="3"/>
    <n v="2017"/>
    <x v="3"/>
    <x v="0"/>
    <x v="3"/>
    <x v="0"/>
    <x v="0"/>
    <s v="Vista"/>
    <n v="26"/>
  </r>
  <r>
    <d v="2018-01-01T00:00:00"/>
    <d v="2017-11-14T00:00:00"/>
    <d v="2018-01-01T00:00:00"/>
    <x v="0"/>
    <x v="4"/>
    <s v="NF2347"/>
    <n v="4108"/>
    <x v="5"/>
    <n v="2018"/>
    <x v="3"/>
    <x v="0"/>
    <x v="4"/>
    <x v="1"/>
    <x v="0"/>
    <s v="Prazo"/>
    <n v="0"/>
  </r>
  <r>
    <d v="2017-11-16T00:00:00"/>
    <d v="2017-11-16T00:00:00"/>
    <d v="2017-11-16T00:00:00"/>
    <x v="0"/>
    <x v="1"/>
    <s v="NF7848"/>
    <n v="3714"/>
    <x v="2"/>
    <n v="2017"/>
    <x v="3"/>
    <x v="0"/>
    <x v="3"/>
    <x v="0"/>
    <x v="0"/>
    <s v="Vista"/>
    <n v="0"/>
  </r>
  <r>
    <s v=""/>
    <d v="2017-11-18T00:00:00"/>
    <d v="2018-01-01T00:00:00"/>
    <x v="0"/>
    <x v="3"/>
    <s v="NF4449"/>
    <n v="4843"/>
    <x v="4"/>
    <n v="0"/>
    <x v="3"/>
    <x v="0"/>
    <x v="4"/>
    <x v="1"/>
    <x v="1"/>
    <s v="Prazo"/>
    <n v="2252"/>
  </r>
  <r>
    <d v="2017-12-21T00:00:00"/>
    <d v="2017-11-19T00:00:00"/>
    <d v="2017-12-21T00:00:00"/>
    <x v="0"/>
    <x v="2"/>
    <s v="NF7540"/>
    <n v="4831"/>
    <x v="3"/>
    <n v="2017"/>
    <x v="3"/>
    <x v="0"/>
    <x v="5"/>
    <x v="0"/>
    <x v="0"/>
    <s v="Prazo"/>
    <n v="0"/>
  </r>
  <r>
    <d v="2017-11-20T00:00:00"/>
    <d v="2017-11-20T00:00:00"/>
    <d v="2017-11-20T00:00:00"/>
    <x v="0"/>
    <x v="1"/>
    <s v="NF7741"/>
    <n v="2072"/>
    <x v="2"/>
    <n v="2017"/>
    <x v="3"/>
    <x v="0"/>
    <x v="3"/>
    <x v="0"/>
    <x v="0"/>
    <s v="Vista"/>
    <n v="0"/>
  </r>
  <r>
    <d v="2018-01-22T00:00:00"/>
    <d v="2017-11-24T00:00:00"/>
    <d v="2018-01-22T00:00:00"/>
    <x v="0"/>
    <x v="0"/>
    <s v="NF6190"/>
    <n v="3992"/>
    <x v="5"/>
    <n v="2018"/>
    <x v="3"/>
    <x v="0"/>
    <x v="4"/>
    <x v="1"/>
    <x v="0"/>
    <s v="Prazo"/>
    <n v="0"/>
  </r>
  <r>
    <d v="2018-01-14T00:00:00"/>
    <d v="2017-11-29T00:00:00"/>
    <d v="2017-11-29T00:00:00"/>
    <x v="0"/>
    <x v="3"/>
    <s v="NF4129"/>
    <n v="1284"/>
    <x v="5"/>
    <n v="2018"/>
    <x v="3"/>
    <x v="0"/>
    <x v="3"/>
    <x v="0"/>
    <x v="0"/>
    <s v="Vista"/>
    <n v="46"/>
  </r>
  <r>
    <d v="2017-12-04T00:00:00"/>
    <d v="2017-12-04T00:00:00"/>
    <d v="2017-12-04T00:00:00"/>
    <x v="0"/>
    <x v="0"/>
    <s v="NF6811"/>
    <n v="4073"/>
    <x v="3"/>
    <n v="2017"/>
    <x v="4"/>
    <x v="0"/>
    <x v="5"/>
    <x v="0"/>
    <x v="0"/>
    <s v="Vista"/>
    <n v="0"/>
  </r>
  <r>
    <d v="2017-12-04T00:00:00"/>
    <d v="2017-12-04T00:00:00"/>
    <d v="2017-12-04T00:00:00"/>
    <x v="0"/>
    <x v="3"/>
    <s v="NF1550"/>
    <n v="3008"/>
    <x v="3"/>
    <n v="2017"/>
    <x v="4"/>
    <x v="0"/>
    <x v="5"/>
    <x v="0"/>
    <x v="0"/>
    <s v="Vista"/>
    <n v="0"/>
  </r>
  <r>
    <d v="2018-01-03T00:00:00"/>
    <d v="2017-12-11T00:00:00"/>
    <d v="2017-12-11T00:00:00"/>
    <x v="0"/>
    <x v="3"/>
    <s v="NF7213"/>
    <n v="1267"/>
    <x v="5"/>
    <n v="2018"/>
    <x v="4"/>
    <x v="0"/>
    <x v="5"/>
    <x v="0"/>
    <x v="0"/>
    <s v="Vista"/>
    <n v="23"/>
  </r>
  <r>
    <d v="2018-01-03T00:00:00"/>
    <d v="2017-12-13T00:00:00"/>
    <d v="2018-01-03T00:00:00"/>
    <x v="0"/>
    <x v="3"/>
    <s v="NF8396"/>
    <n v="284"/>
    <x v="5"/>
    <n v="2018"/>
    <x v="4"/>
    <x v="0"/>
    <x v="4"/>
    <x v="1"/>
    <x v="0"/>
    <s v="Prazo"/>
    <n v="0"/>
  </r>
  <r>
    <d v="2017-12-17T00:00:00"/>
    <d v="2017-12-14T00:00:00"/>
    <d v="2017-12-17T00:00:00"/>
    <x v="0"/>
    <x v="1"/>
    <s v="NF2432"/>
    <n v="2046"/>
    <x v="3"/>
    <n v="2017"/>
    <x v="4"/>
    <x v="0"/>
    <x v="5"/>
    <x v="0"/>
    <x v="0"/>
    <s v="Prazo"/>
    <n v="0"/>
  </r>
  <r>
    <d v="2018-01-22T00:00:00"/>
    <d v="2017-12-16T00:00:00"/>
    <d v="2018-01-22T00:00:00"/>
    <x v="0"/>
    <x v="0"/>
    <s v="NF4722"/>
    <n v="3880"/>
    <x v="5"/>
    <n v="2018"/>
    <x v="4"/>
    <x v="0"/>
    <x v="4"/>
    <x v="1"/>
    <x v="0"/>
    <s v="Prazo"/>
    <n v="0"/>
  </r>
  <r>
    <d v="2018-01-23T00:00:00"/>
    <d v="2017-12-17T00:00:00"/>
    <d v="2018-01-23T00:00:00"/>
    <x v="0"/>
    <x v="0"/>
    <s v="NF8944"/>
    <n v="3149"/>
    <x v="5"/>
    <n v="2018"/>
    <x v="4"/>
    <x v="0"/>
    <x v="4"/>
    <x v="1"/>
    <x v="0"/>
    <s v="Prazo"/>
    <n v="0"/>
  </r>
  <r>
    <d v="2018-01-25T00:00:00"/>
    <d v="2017-12-19T00:00:00"/>
    <d v="2018-01-25T00:00:00"/>
    <x v="0"/>
    <x v="1"/>
    <s v="NF2816"/>
    <n v="668"/>
    <x v="5"/>
    <n v="2018"/>
    <x v="4"/>
    <x v="0"/>
    <x v="4"/>
    <x v="1"/>
    <x v="0"/>
    <s v="Prazo"/>
    <n v="0"/>
  </r>
  <r>
    <d v="2017-12-20T00:00:00"/>
    <d v="2017-12-20T00:00:00"/>
    <d v="2017-12-20T00:00:00"/>
    <x v="0"/>
    <x v="2"/>
    <s v="NF6358"/>
    <n v="3721"/>
    <x v="3"/>
    <n v="2017"/>
    <x v="4"/>
    <x v="0"/>
    <x v="5"/>
    <x v="0"/>
    <x v="0"/>
    <s v="Vista"/>
    <n v="0"/>
  </r>
  <r>
    <d v="2018-02-02T00:00:00"/>
    <d v="2017-12-22T00:00:00"/>
    <d v="2018-02-02T00:00:00"/>
    <x v="0"/>
    <x v="0"/>
    <s v="NF8459"/>
    <n v="3114"/>
    <x v="6"/>
    <n v="2018"/>
    <x v="4"/>
    <x v="0"/>
    <x v="6"/>
    <x v="1"/>
    <x v="0"/>
    <s v="Prazo"/>
    <n v="0"/>
  </r>
  <r>
    <d v="2018-03-23T00:00:00"/>
    <d v="2017-12-26T00:00:00"/>
    <d v="2017-12-26T00:00:00"/>
    <x v="0"/>
    <x v="1"/>
    <s v="NF5737"/>
    <n v="1436"/>
    <x v="7"/>
    <n v="2018"/>
    <x v="4"/>
    <x v="0"/>
    <x v="5"/>
    <x v="0"/>
    <x v="0"/>
    <s v="Vista"/>
    <n v="87"/>
  </r>
  <r>
    <d v="2018-01-01T00:00:00"/>
    <d v="2017-12-30T00:00:00"/>
    <d v="2018-01-01T00:00:00"/>
    <x v="0"/>
    <x v="1"/>
    <s v="NF8895"/>
    <n v="3192"/>
    <x v="5"/>
    <n v="2018"/>
    <x v="4"/>
    <x v="0"/>
    <x v="4"/>
    <x v="1"/>
    <x v="0"/>
    <s v="Prazo"/>
    <n v="0"/>
  </r>
  <r>
    <d v="2018-02-13T00:00:00"/>
    <d v="2017-12-31T00:00:00"/>
    <d v="2018-02-13T00:00:00"/>
    <x v="0"/>
    <x v="2"/>
    <s v="NF2196"/>
    <n v="2687"/>
    <x v="6"/>
    <n v="2018"/>
    <x v="4"/>
    <x v="0"/>
    <x v="6"/>
    <x v="1"/>
    <x v="0"/>
    <s v="Prazo"/>
    <n v="0"/>
  </r>
  <r>
    <s v=""/>
    <d v="2018-01-03T00:00:00"/>
    <d v="2018-02-28T00:00:00"/>
    <x v="0"/>
    <x v="1"/>
    <s v="NF1631"/>
    <n v="1561"/>
    <x v="4"/>
    <n v="0"/>
    <x v="5"/>
    <x v="1"/>
    <x v="6"/>
    <x v="1"/>
    <x v="1"/>
    <s v="Prazo"/>
    <n v="2194"/>
  </r>
  <r>
    <d v="2018-02-24T00:00:00"/>
    <d v="2018-01-09T00:00:00"/>
    <d v="2018-01-13T00:00:00"/>
    <x v="0"/>
    <x v="1"/>
    <s v="NF9340"/>
    <n v="1573"/>
    <x v="6"/>
    <n v="2018"/>
    <x v="5"/>
    <x v="1"/>
    <x v="4"/>
    <x v="1"/>
    <x v="0"/>
    <s v="Prazo"/>
    <n v="42"/>
  </r>
  <r>
    <d v="2018-01-17T00:00:00"/>
    <d v="2018-01-17T00:00:00"/>
    <d v="2018-01-17T00:00:00"/>
    <x v="0"/>
    <x v="1"/>
    <s v="NF6851"/>
    <n v="1364"/>
    <x v="5"/>
    <n v="2018"/>
    <x v="5"/>
    <x v="1"/>
    <x v="4"/>
    <x v="1"/>
    <x v="0"/>
    <s v="Vista"/>
    <n v="0"/>
  </r>
  <r>
    <d v="2018-03-07T00:00:00"/>
    <d v="2018-01-21T00:00:00"/>
    <d v="2018-03-07T00:00:00"/>
    <x v="0"/>
    <x v="2"/>
    <s v="NF3336"/>
    <n v="783"/>
    <x v="7"/>
    <n v="2018"/>
    <x v="5"/>
    <x v="1"/>
    <x v="7"/>
    <x v="1"/>
    <x v="0"/>
    <s v="Prazo"/>
    <n v="0"/>
  </r>
  <r>
    <d v="2018-02-14T00:00:00"/>
    <d v="2018-01-22T00:00:00"/>
    <d v="2018-02-14T00:00:00"/>
    <x v="0"/>
    <x v="2"/>
    <s v="NF7526"/>
    <n v="3928"/>
    <x v="6"/>
    <n v="2018"/>
    <x v="5"/>
    <x v="1"/>
    <x v="6"/>
    <x v="1"/>
    <x v="0"/>
    <s v="Prazo"/>
    <n v="0"/>
  </r>
  <r>
    <d v="2018-02-11T00:00:00"/>
    <d v="2018-01-24T00:00:00"/>
    <d v="2018-02-11T00:00:00"/>
    <x v="0"/>
    <x v="0"/>
    <s v="NF3023"/>
    <n v="3843"/>
    <x v="6"/>
    <n v="2018"/>
    <x v="5"/>
    <x v="1"/>
    <x v="6"/>
    <x v="1"/>
    <x v="0"/>
    <s v="Prazo"/>
    <n v="0"/>
  </r>
  <r>
    <d v="2018-04-16T00:00:00"/>
    <d v="2018-01-25T00:00:00"/>
    <d v="2018-01-29T00:00:00"/>
    <x v="0"/>
    <x v="3"/>
    <s v="NF7934"/>
    <n v="1864"/>
    <x v="8"/>
    <n v="2018"/>
    <x v="5"/>
    <x v="1"/>
    <x v="4"/>
    <x v="1"/>
    <x v="0"/>
    <s v="Prazo"/>
    <n v="77"/>
  </r>
  <r>
    <d v="2018-02-06T00:00:00"/>
    <d v="2018-01-28T00:00:00"/>
    <d v="2018-01-28T00:00:00"/>
    <x v="0"/>
    <x v="1"/>
    <s v="NF7720"/>
    <n v="1184"/>
    <x v="6"/>
    <n v="2018"/>
    <x v="5"/>
    <x v="1"/>
    <x v="4"/>
    <x v="1"/>
    <x v="0"/>
    <s v="Vista"/>
    <n v="9"/>
  </r>
  <r>
    <d v="2018-03-02T00:00:00"/>
    <d v="2018-01-29T00:00:00"/>
    <d v="2018-03-02T00:00:00"/>
    <x v="0"/>
    <x v="1"/>
    <s v="NF2719"/>
    <n v="4055"/>
    <x v="7"/>
    <n v="2018"/>
    <x v="5"/>
    <x v="1"/>
    <x v="7"/>
    <x v="1"/>
    <x v="0"/>
    <s v="Prazo"/>
    <n v="0"/>
  </r>
  <r>
    <d v="2018-03-19T00:00:00"/>
    <d v="2018-01-30T00:00:00"/>
    <d v="2018-03-19T00:00:00"/>
    <x v="0"/>
    <x v="1"/>
    <s v="NF3036"/>
    <n v="427"/>
    <x v="7"/>
    <n v="2018"/>
    <x v="5"/>
    <x v="1"/>
    <x v="7"/>
    <x v="1"/>
    <x v="0"/>
    <s v="Prazo"/>
    <n v="0"/>
  </r>
  <r>
    <d v="2018-02-07T00:00:00"/>
    <d v="2018-02-02T00:00:00"/>
    <d v="2018-02-07T00:00:00"/>
    <x v="0"/>
    <x v="4"/>
    <s v="NF4604"/>
    <n v="460"/>
    <x v="6"/>
    <n v="2018"/>
    <x v="6"/>
    <x v="1"/>
    <x v="6"/>
    <x v="1"/>
    <x v="0"/>
    <s v="Prazo"/>
    <n v="0"/>
  </r>
  <r>
    <s v=""/>
    <d v="2018-02-05T00:00:00"/>
    <d v="2018-03-31T00:00:00"/>
    <x v="0"/>
    <x v="2"/>
    <s v="NF2493"/>
    <n v="964"/>
    <x v="4"/>
    <n v="0"/>
    <x v="6"/>
    <x v="1"/>
    <x v="7"/>
    <x v="1"/>
    <x v="1"/>
    <s v="Prazo"/>
    <n v="2163"/>
  </r>
  <r>
    <d v="2018-02-14T00:00:00"/>
    <d v="2018-02-09T00:00:00"/>
    <d v="2018-02-14T00:00:00"/>
    <x v="0"/>
    <x v="1"/>
    <s v="NF5788"/>
    <n v="3412"/>
    <x v="6"/>
    <n v="2018"/>
    <x v="6"/>
    <x v="1"/>
    <x v="6"/>
    <x v="1"/>
    <x v="0"/>
    <s v="Prazo"/>
    <n v="0"/>
  </r>
  <r>
    <d v="2018-02-15T00:00:00"/>
    <d v="2018-02-11T00:00:00"/>
    <d v="2018-02-15T00:00:00"/>
    <x v="0"/>
    <x v="0"/>
    <s v="NF9580"/>
    <n v="3095"/>
    <x v="6"/>
    <n v="2018"/>
    <x v="6"/>
    <x v="1"/>
    <x v="6"/>
    <x v="1"/>
    <x v="0"/>
    <s v="Prazo"/>
    <n v="0"/>
  </r>
  <r>
    <d v="2018-04-03T00:00:00"/>
    <d v="2018-02-17T00:00:00"/>
    <d v="2018-04-03T00:00:00"/>
    <x v="0"/>
    <x v="4"/>
    <s v="NF4061"/>
    <n v="1532"/>
    <x v="8"/>
    <n v="2018"/>
    <x v="6"/>
    <x v="1"/>
    <x v="8"/>
    <x v="1"/>
    <x v="0"/>
    <s v="Prazo"/>
    <n v="0"/>
  </r>
  <r>
    <d v="2018-04-03T00:00:00"/>
    <d v="2018-02-20T00:00:00"/>
    <d v="2018-04-03T00:00:00"/>
    <x v="0"/>
    <x v="4"/>
    <s v="NF6503"/>
    <n v="3726"/>
    <x v="8"/>
    <n v="2018"/>
    <x v="6"/>
    <x v="1"/>
    <x v="8"/>
    <x v="1"/>
    <x v="0"/>
    <s v="Prazo"/>
    <n v="0"/>
  </r>
  <r>
    <d v="2018-02-23T00:00:00"/>
    <d v="2018-02-23T00:00:00"/>
    <d v="2018-02-23T00:00:00"/>
    <x v="0"/>
    <x v="1"/>
    <s v="NF6701"/>
    <n v="4322"/>
    <x v="6"/>
    <n v="2018"/>
    <x v="6"/>
    <x v="1"/>
    <x v="6"/>
    <x v="1"/>
    <x v="0"/>
    <s v="Vista"/>
    <n v="0"/>
  </r>
  <r>
    <s v=""/>
    <d v="2018-02-25T00:00:00"/>
    <d v="2018-04-15T00:00:00"/>
    <x v="0"/>
    <x v="0"/>
    <s v="NF8891"/>
    <n v="3998"/>
    <x v="4"/>
    <n v="0"/>
    <x v="6"/>
    <x v="1"/>
    <x v="8"/>
    <x v="1"/>
    <x v="1"/>
    <s v="Prazo"/>
    <n v="2148"/>
  </r>
  <r>
    <d v="2018-05-26T00:00:00"/>
    <d v="2018-02-27T00:00:00"/>
    <d v="2018-03-29T00:00:00"/>
    <x v="0"/>
    <x v="0"/>
    <s v="NF2640"/>
    <n v="3252"/>
    <x v="9"/>
    <n v="2018"/>
    <x v="6"/>
    <x v="1"/>
    <x v="7"/>
    <x v="1"/>
    <x v="0"/>
    <s v="Prazo"/>
    <n v="58"/>
  </r>
  <r>
    <d v="2018-03-10T00:00:00"/>
    <d v="2018-03-01T00:00:00"/>
    <d v="2018-03-10T00:00:00"/>
    <x v="0"/>
    <x v="4"/>
    <s v="NF8852"/>
    <n v="3701"/>
    <x v="7"/>
    <n v="2018"/>
    <x v="7"/>
    <x v="1"/>
    <x v="7"/>
    <x v="1"/>
    <x v="0"/>
    <s v="Prazo"/>
    <n v="0"/>
  </r>
  <r>
    <s v=""/>
    <d v="2018-03-03T00:00:00"/>
    <d v="2018-04-12T00:00:00"/>
    <x v="0"/>
    <x v="2"/>
    <s v="NF7869"/>
    <n v="1977"/>
    <x v="4"/>
    <n v="0"/>
    <x v="7"/>
    <x v="1"/>
    <x v="8"/>
    <x v="1"/>
    <x v="1"/>
    <s v="Prazo"/>
    <n v="2151"/>
  </r>
  <r>
    <d v="2018-07-06T00:00:00"/>
    <d v="2018-03-04T00:00:00"/>
    <d v="2018-04-21T00:00:00"/>
    <x v="0"/>
    <x v="4"/>
    <s v="NF4994"/>
    <n v="1217"/>
    <x v="10"/>
    <n v="2018"/>
    <x v="7"/>
    <x v="1"/>
    <x v="8"/>
    <x v="1"/>
    <x v="0"/>
    <s v="Prazo"/>
    <n v="76"/>
  </r>
  <r>
    <d v="2018-04-13T00:00:00"/>
    <d v="2018-03-07T00:00:00"/>
    <d v="2018-04-13T00:00:00"/>
    <x v="0"/>
    <x v="3"/>
    <s v="NF5720"/>
    <n v="1660"/>
    <x v="8"/>
    <n v="2018"/>
    <x v="7"/>
    <x v="1"/>
    <x v="8"/>
    <x v="1"/>
    <x v="0"/>
    <s v="Prazo"/>
    <n v="0"/>
  </r>
  <r>
    <d v="2018-03-10T00:00:00"/>
    <d v="2018-03-10T00:00:00"/>
    <d v="2018-03-10T00:00:00"/>
    <x v="0"/>
    <x v="3"/>
    <s v="NF6393"/>
    <n v="837"/>
    <x v="7"/>
    <n v="2018"/>
    <x v="7"/>
    <x v="1"/>
    <x v="7"/>
    <x v="1"/>
    <x v="0"/>
    <s v="Vista"/>
    <n v="0"/>
  </r>
  <r>
    <d v="2018-06-23T00:00:00"/>
    <d v="2018-03-12T00:00:00"/>
    <d v="2018-04-10T00:00:00"/>
    <x v="0"/>
    <x v="1"/>
    <s v="NF9057"/>
    <n v="1838"/>
    <x v="11"/>
    <n v="2018"/>
    <x v="7"/>
    <x v="1"/>
    <x v="8"/>
    <x v="1"/>
    <x v="0"/>
    <s v="Prazo"/>
    <n v="74"/>
  </r>
  <r>
    <d v="2018-03-17T00:00:00"/>
    <d v="2018-03-17T00:00:00"/>
    <d v="2018-03-17T00:00:00"/>
    <x v="0"/>
    <x v="2"/>
    <s v="NF7365"/>
    <n v="4471"/>
    <x v="7"/>
    <n v="2018"/>
    <x v="7"/>
    <x v="1"/>
    <x v="7"/>
    <x v="1"/>
    <x v="0"/>
    <s v="Vista"/>
    <n v="0"/>
  </r>
  <r>
    <d v="2018-03-18T00:00:00"/>
    <d v="2018-03-18T00:00:00"/>
    <d v="2018-03-18T00:00:00"/>
    <x v="0"/>
    <x v="1"/>
    <s v="NF4559"/>
    <n v="3540"/>
    <x v="7"/>
    <n v="2018"/>
    <x v="7"/>
    <x v="1"/>
    <x v="7"/>
    <x v="1"/>
    <x v="0"/>
    <s v="Vista"/>
    <n v="0"/>
  </r>
  <r>
    <d v="2018-05-05T00:00:00"/>
    <d v="2018-03-21T00:00:00"/>
    <d v="2018-03-21T00:00:00"/>
    <x v="0"/>
    <x v="1"/>
    <s v="NF7119"/>
    <n v="4606"/>
    <x v="9"/>
    <n v="2018"/>
    <x v="7"/>
    <x v="1"/>
    <x v="7"/>
    <x v="1"/>
    <x v="0"/>
    <s v="Vista"/>
    <n v="45"/>
  </r>
  <r>
    <d v="2018-04-09T00:00:00"/>
    <d v="2018-03-23T00:00:00"/>
    <d v="2018-04-09T00:00:00"/>
    <x v="0"/>
    <x v="0"/>
    <s v="NF2814"/>
    <n v="2388"/>
    <x v="8"/>
    <n v="2018"/>
    <x v="7"/>
    <x v="1"/>
    <x v="8"/>
    <x v="1"/>
    <x v="0"/>
    <s v="Prazo"/>
    <n v="0"/>
  </r>
  <r>
    <d v="2018-03-28T00:00:00"/>
    <d v="2018-03-25T00:00:00"/>
    <d v="2018-03-28T00:00:00"/>
    <x v="0"/>
    <x v="3"/>
    <s v="NF5963"/>
    <n v="2303"/>
    <x v="7"/>
    <n v="2018"/>
    <x v="7"/>
    <x v="1"/>
    <x v="7"/>
    <x v="1"/>
    <x v="0"/>
    <s v="Prazo"/>
    <n v="0"/>
  </r>
  <r>
    <d v="2018-06-06T00:00:00"/>
    <d v="2018-03-28T00:00:00"/>
    <d v="2018-04-15T00:00:00"/>
    <x v="0"/>
    <x v="2"/>
    <s v="NF3293"/>
    <n v="1662"/>
    <x v="11"/>
    <n v="2018"/>
    <x v="7"/>
    <x v="1"/>
    <x v="8"/>
    <x v="1"/>
    <x v="0"/>
    <s v="Prazo"/>
    <n v="52"/>
  </r>
  <r>
    <d v="2018-04-24T00:00:00"/>
    <d v="2018-03-30T00:00:00"/>
    <d v="2018-03-30T00:00:00"/>
    <x v="0"/>
    <x v="0"/>
    <s v="NF8254"/>
    <n v="3241"/>
    <x v="8"/>
    <n v="2018"/>
    <x v="7"/>
    <x v="1"/>
    <x v="7"/>
    <x v="1"/>
    <x v="0"/>
    <s v="Vista"/>
    <n v="25"/>
  </r>
  <r>
    <d v="2018-07-25T00:00:00"/>
    <d v="2018-03-31T00:00:00"/>
    <d v="2018-05-08T00:00:00"/>
    <x v="0"/>
    <x v="2"/>
    <s v="NF4303"/>
    <n v="4017"/>
    <x v="10"/>
    <n v="2018"/>
    <x v="7"/>
    <x v="1"/>
    <x v="9"/>
    <x v="1"/>
    <x v="0"/>
    <s v="Prazo"/>
    <n v="78"/>
  </r>
  <r>
    <d v="2018-04-03T00:00:00"/>
    <d v="2018-04-03T00:00:00"/>
    <d v="2018-04-03T00:00:00"/>
    <x v="0"/>
    <x v="1"/>
    <s v="NF2605"/>
    <n v="3586"/>
    <x v="8"/>
    <n v="2018"/>
    <x v="8"/>
    <x v="1"/>
    <x v="8"/>
    <x v="1"/>
    <x v="0"/>
    <s v="Vista"/>
    <n v="0"/>
  </r>
  <r>
    <d v="2018-04-06T00:00:00"/>
    <d v="2018-04-06T00:00:00"/>
    <d v="2018-04-06T00:00:00"/>
    <x v="0"/>
    <x v="0"/>
    <s v="NF8043"/>
    <n v="4467"/>
    <x v="8"/>
    <n v="2018"/>
    <x v="8"/>
    <x v="1"/>
    <x v="8"/>
    <x v="1"/>
    <x v="0"/>
    <s v="Vista"/>
    <n v="0"/>
  </r>
  <r>
    <d v="2018-05-31T00:00:00"/>
    <d v="2018-04-09T00:00:00"/>
    <d v="2018-05-31T00:00:00"/>
    <x v="0"/>
    <x v="1"/>
    <s v="NF6697"/>
    <n v="4262"/>
    <x v="9"/>
    <n v="2018"/>
    <x v="8"/>
    <x v="1"/>
    <x v="9"/>
    <x v="1"/>
    <x v="0"/>
    <s v="Prazo"/>
    <n v="0"/>
  </r>
  <r>
    <s v=""/>
    <d v="2018-04-11T00:00:00"/>
    <d v="2018-06-09T00:00:00"/>
    <x v="0"/>
    <x v="1"/>
    <s v="NF5208"/>
    <n v="2593"/>
    <x v="4"/>
    <n v="0"/>
    <x v="8"/>
    <x v="1"/>
    <x v="10"/>
    <x v="1"/>
    <x v="1"/>
    <s v="Prazo"/>
    <n v="2093"/>
  </r>
  <r>
    <d v="2018-05-04T00:00:00"/>
    <d v="2018-04-14T00:00:00"/>
    <d v="2018-05-04T00:00:00"/>
    <x v="0"/>
    <x v="1"/>
    <s v="NF2907"/>
    <n v="1885"/>
    <x v="9"/>
    <n v="2018"/>
    <x v="8"/>
    <x v="1"/>
    <x v="9"/>
    <x v="1"/>
    <x v="0"/>
    <s v="Prazo"/>
    <n v="0"/>
  </r>
  <r>
    <d v="2018-07-14T00:00:00"/>
    <d v="2018-04-19T00:00:00"/>
    <d v="2018-04-19T00:00:00"/>
    <x v="0"/>
    <x v="1"/>
    <s v="NF9381"/>
    <n v="2224"/>
    <x v="10"/>
    <n v="2018"/>
    <x v="8"/>
    <x v="1"/>
    <x v="8"/>
    <x v="1"/>
    <x v="0"/>
    <s v="Vista"/>
    <n v="86"/>
  </r>
  <r>
    <d v="2018-05-14T00:00:00"/>
    <d v="2018-04-23T00:00:00"/>
    <d v="2018-05-14T00:00:00"/>
    <x v="0"/>
    <x v="1"/>
    <s v="NF3247"/>
    <n v="3223"/>
    <x v="9"/>
    <n v="2018"/>
    <x v="8"/>
    <x v="1"/>
    <x v="9"/>
    <x v="1"/>
    <x v="0"/>
    <s v="Prazo"/>
    <n v="0"/>
  </r>
  <r>
    <d v="2018-04-26T00:00:00"/>
    <d v="2018-04-26T00:00:00"/>
    <d v="2018-04-26T00:00:00"/>
    <x v="0"/>
    <x v="4"/>
    <s v="NF4377"/>
    <n v="3446"/>
    <x v="8"/>
    <n v="2018"/>
    <x v="8"/>
    <x v="1"/>
    <x v="8"/>
    <x v="1"/>
    <x v="0"/>
    <s v="Vista"/>
    <n v="0"/>
  </r>
  <r>
    <d v="2018-05-06T00:00:00"/>
    <d v="2018-04-30T00:00:00"/>
    <d v="2018-04-30T00:00:00"/>
    <x v="0"/>
    <x v="1"/>
    <s v="NF2988"/>
    <n v="4540"/>
    <x v="9"/>
    <n v="2018"/>
    <x v="8"/>
    <x v="1"/>
    <x v="8"/>
    <x v="1"/>
    <x v="0"/>
    <s v="Vista"/>
    <n v="6"/>
  </r>
  <r>
    <d v="2018-07-02T00:00:00"/>
    <d v="2018-05-08T00:00:00"/>
    <d v="2018-07-02T00:00:00"/>
    <x v="0"/>
    <x v="2"/>
    <s v="NF4912"/>
    <n v="3862"/>
    <x v="10"/>
    <n v="2018"/>
    <x v="9"/>
    <x v="1"/>
    <x v="11"/>
    <x v="1"/>
    <x v="0"/>
    <s v="Prazo"/>
    <n v="0"/>
  </r>
  <r>
    <d v="2018-07-30T00:00:00"/>
    <d v="2018-05-11T00:00:00"/>
    <d v="2018-06-28T00:00:00"/>
    <x v="0"/>
    <x v="4"/>
    <s v="NF7104"/>
    <n v="611"/>
    <x v="10"/>
    <n v="2018"/>
    <x v="9"/>
    <x v="1"/>
    <x v="10"/>
    <x v="1"/>
    <x v="0"/>
    <s v="Prazo"/>
    <n v="32"/>
  </r>
  <r>
    <d v="2018-05-13T00:00:00"/>
    <d v="2018-05-13T00:00:00"/>
    <d v="2018-05-13T00:00:00"/>
    <x v="0"/>
    <x v="3"/>
    <s v="NF6700"/>
    <n v="1486"/>
    <x v="9"/>
    <n v="2018"/>
    <x v="9"/>
    <x v="1"/>
    <x v="9"/>
    <x v="1"/>
    <x v="0"/>
    <s v="Vista"/>
    <n v="0"/>
  </r>
  <r>
    <d v="2018-06-01T00:00:00"/>
    <d v="2018-05-21T00:00:00"/>
    <d v="2018-06-01T00:00:00"/>
    <x v="0"/>
    <x v="1"/>
    <s v="NF7947"/>
    <n v="4850"/>
    <x v="11"/>
    <n v="2018"/>
    <x v="9"/>
    <x v="1"/>
    <x v="10"/>
    <x v="1"/>
    <x v="0"/>
    <s v="Prazo"/>
    <n v="0"/>
  </r>
  <r>
    <d v="2018-06-24T00:00:00"/>
    <d v="2018-05-24T00:00:00"/>
    <d v="2018-06-24T00:00:00"/>
    <x v="0"/>
    <x v="3"/>
    <s v="NF7741"/>
    <n v="3878"/>
    <x v="11"/>
    <n v="2018"/>
    <x v="9"/>
    <x v="1"/>
    <x v="10"/>
    <x v="1"/>
    <x v="0"/>
    <s v="Prazo"/>
    <n v="0"/>
  </r>
  <r>
    <d v="2018-06-24T00:00:00"/>
    <d v="2018-05-29T00:00:00"/>
    <d v="2018-06-24T00:00:00"/>
    <x v="0"/>
    <x v="3"/>
    <s v="NF3255"/>
    <n v="976"/>
    <x v="11"/>
    <n v="2018"/>
    <x v="9"/>
    <x v="1"/>
    <x v="10"/>
    <x v="1"/>
    <x v="0"/>
    <s v="Prazo"/>
    <n v="0"/>
  </r>
  <r>
    <d v="2018-06-14T00:00:00"/>
    <d v="2018-05-30T00:00:00"/>
    <d v="2018-06-14T00:00:00"/>
    <x v="0"/>
    <x v="2"/>
    <s v="NF7106"/>
    <n v="3346"/>
    <x v="11"/>
    <n v="2018"/>
    <x v="9"/>
    <x v="1"/>
    <x v="10"/>
    <x v="1"/>
    <x v="0"/>
    <s v="Prazo"/>
    <n v="0"/>
  </r>
  <r>
    <d v="2018-08-28T00:00:00"/>
    <d v="2018-06-03T00:00:00"/>
    <d v="2018-08-01T00:00:00"/>
    <x v="0"/>
    <x v="4"/>
    <s v="NF1835"/>
    <n v="443"/>
    <x v="12"/>
    <n v="2018"/>
    <x v="10"/>
    <x v="1"/>
    <x v="0"/>
    <x v="1"/>
    <x v="0"/>
    <s v="Prazo"/>
    <n v="27"/>
  </r>
  <r>
    <d v="2018-06-04T00:00:00"/>
    <d v="2018-06-04T00:00:00"/>
    <d v="2018-06-04T00:00:00"/>
    <x v="0"/>
    <x v="4"/>
    <s v="NF7322"/>
    <n v="2781"/>
    <x v="11"/>
    <n v="2018"/>
    <x v="10"/>
    <x v="1"/>
    <x v="10"/>
    <x v="1"/>
    <x v="0"/>
    <s v="Vista"/>
    <n v="0"/>
  </r>
  <r>
    <d v="2018-06-16T00:00:00"/>
    <d v="2018-06-05T00:00:00"/>
    <d v="2018-06-16T00:00:00"/>
    <x v="0"/>
    <x v="3"/>
    <s v="NF3899"/>
    <n v="1875"/>
    <x v="11"/>
    <n v="2018"/>
    <x v="10"/>
    <x v="1"/>
    <x v="10"/>
    <x v="1"/>
    <x v="0"/>
    <s v="Prazo"/>
    <n v="0"/>
  </r>
  <r>
    <d v="2018-06-08T00:00:00"/>
    <d v="2018-06-08T00:00:00"/>
    <d v="2018-06-08T00:00:00"/>
    <x v="0"/>
    <x v="1"/>
    <s v="NF5496"/>
    <n v="3134"/>
    <x v="11"/>
    <n v="2018"/>
    <x v="10"/>
    <x v="1"/>
    <x v="10"/>
    <x v="1"/>
    <x v="0"/>
    <s v="Vista"/>
    <n v="0"/>
  </r>
  <r>
    <d v="2018-06-25T00:00:00"/>
    <d v="2018-06-10T00:00:00"/>
    <d v="2018-06-25T00:00:00"/>
    <x v="0"/>
    <x v="0"/>
    <s v="NF4824"/>
    <n v="2114"/>
    <x v="11"/>
    <n v="2018"/>
    <x v="10"/>
    <x v="1"/>
    <x v="10"/>
    <x v="1"/>
    <x v="0"/>
    <s v="Prazo"/>
    <n v="0"/>
  </r>
  <r>
    <d v="2018-08-08T00:00:00"/>
    <d v="2018-06-13T00:00:00"/>
    <d v="2018-08-08T00:00:00"/>
    <x v="0"/>
    <x v="3"/>
    <s v="NF2022"/>
    <n v="4961"/>
    <x v="12"/>
    <n v="2018"/>
    <x v="10"/>
    <x v="1"/>
    <x v="0"/>
    <x v="1"/>
    <x v="0"/>
    <s v="Prazo"/>
    <n v="0"/>
  </r>
  <r>
    <d v="2018-07-22T00:00:00"/>
    <d v="2018-06-14T00:00:00"/>
    <d v="2018-07-22T00:00:00"/>
    <x v="0"/>
    <x v="1"/>
    <s v="NF8075"/>
    <n v="909"/>
    <x v="10"/>
    <n v="2018"/>
    <x v="10"/>
    <x v="1"/>
    <x v="11"/>
    <x v="1"/>
    <x v="0"/>
    <s v="Prazo"/>
    <n v="0"/>
  </r>
  <r>
    <d v="2018-07-12T00:00:00"/>
    <d v="2018-06-15T00:00:00"/>
    <d v="2018-07-12T00:00:00"/>
    <x v="0"/>
    <x v="1"/>
    <s v="NF1137"/>
    <n v="2197"/>
    <x v="10"/>
    <n v="2018"/>
    <x v="10"/>
    <x v="1"/>
    <x v="11"/>
    <x v="1"/>
    <x v="0"/>
    <s v="Prazo"/>
    <n v="0"/>
  </r>
  <r>
    <d v="2018-06-17T00:00:00"/>
    <d v="2018-06-17T00:00:00"/>
    <d v="2018-06-17T00:00:00"/>
    <x v="0"/>
    <x v="2"/>
    <s v="NF3353"/>
    <n v="3045"/>
    <x v="11"/>
    <n v="2018"/>
    <x v="10"/>
    <x v="1"/>
    <x v="10"/>
    <x v="1"/>
    <x v="0"/>
    <s v="Vista"/>
    <n v="0"/>
  </r>
  <r>
    <d v="2018-08-14T00:00:00"/>
    <d v="2018-06-21T00:00:00"/>
    <d v="2018-07-28T00:00:00"/>
    <x v="0"/>
    <x v="2"/>
    <s v="NF5074"/>
    <n v="460"/>
    <x v="12"/>
    <n v="2018"/>
    <x v="10"/>
    <x v="1"/>
    <x v="11"/>
    <x v="1"/>
    <x v="0"/>
    <s v="Prazo"/>
    <n v="17"/>
  </r>
  <r>
    <d v="2018-08-01T00:00:00"/>
    <d v="2018-06-24T00:00:00"/>
    <d v="2018-08-01T00:00:00"/>
    <x v="0"/>
    <x v="2"/>
    <s v="NF1725"/>
    <n v="770"/>
    <x v="12"/>
    <n v="2018"/>
    <x v="10"/>
    <x v="1"/>
    <x v="0"/>
    <x v="1"/>
    <x v="0"/>
    <s v="Prazo"/>
    <n v="0"/>
  </r>
  <r>
    <d v="2018-08-05T00:00:00"/>
    <d v="2018-06-25T00:00:00"/>
    <d v="2018-08-05T00:00:00"/>
    <x v="0"/>
    <x v="1"/>
    <s v="NF5560"/>
    <n v="3646"/>
    <x v="12"/>
    <n v="2018"/>
    <x v="10"/>
    <x v="1"/>
    <x v="0"/>
    <x v="1"/>
    <x v="0"/>
    <s v="Prazo"/>
    <n v="0"/>
  </r>
  <r>
    <d v="2018-08-16T00:00:00"/>
    <d v="2018-06-29T00:00:00"/>
    <d v="2018-08-16T00:00:00"/>
    <x v="0"/>
    <x v="1"/>
    <s v="NF2674"/>
    <n v="2376"/>
    <x v="12"/>
    <n v="2018"/>
    <x v="10"/>
    <x v="1"/>
    <x v="0"/>
    <x v="1"/>
    <x v="0"/>
    <s v="Prazo"/>
    <n v="0"/>
  </r>
  <r>
    <d v="2018-10-25T00:00:00"/>
    <d v="2018-07-03T00:00:00"/>
    <d v="2018-07-29T00:00:00"/>
    <x v="0"/>
    <x v="1"/>
    <s v="NF2175"/>
    <n v="3940"/>
    <x v="1"/>
    <n v="2018"/>
    <x v="11"/>
    <x v="1"/>
    <x v="11"/>
    <x v="1"/>
    <x v="0"/>
    <s v="Prazo"/>
    <n v="88"/>
  </r>
  <r>
    <d v="2018-08-31T00:00:00"/>
    <d v="2018-07-04T00:00:00"/>
    <d v="2018-08-31T00:00:00"/>
    <x v="0"/>
    <x v="1"/>
    <s v="NF3338"/>
    <n v="1732"/>
    <x v="12"/>
    <n v="2018"/>
    <x v="11"/>
    <x v="1"/>
    <x v="0"/>
    <x v="1"/>
    <x v="0"/>
    <s v="Prazo"/>
    <n v="0"/>
  </r>
  <r>
    <d v="2018-08-04T00:00:00"/>
    <d v="2018-07-05T00:00:00"/>
    <d v="2018-08-04T00:00:00"/>
    <x v="0"/>
    <x v="4"/>
    <s v="NF7689"/>
    <n v="1306"/>
    <x v="12"/>
    <n v="2018"/>
    <x v="11"/>
    <x v="1"/>
    <x v="0"/>
    <x v="1"/>
    <x v="0"/>
    <s v="Prazo"/>
    <n v="0"/>
  </r>
  <r>
    <d v="2018-08-24T00:00:00"/>
    <d v="2018-07-07T00:00:00"/>
    <d v="2018-08-24T00:00:00"/>
    <x v="0"/>
    <x v="0"/>
    <s v="NF5938"/>
    <n v="3954"/>
    <x v="12"/>
    <n v="2018"/>
    <x v="11"/>
    <x v="1"/>
    <x v="0"/>
    <x v="1"/>
    <x v="0"/>
    <s v="Prazo"/>
    <n v="0"/>
  </r>
  <r>
    <d v="2018-08-11T00:00:00"/>
    <d v="2018-07-11T00:00:00"/>
    <d v="2018-08-11T00:00:00"/>
    <x v="0"/>
    <x v="2"/>
    <s v="NF9391"/>
    <n v="4090"/>
    <x v="12"/>
    <n v="2018"/>
    <x v="11"/>
    <x v="1"/>
    <x v="0"/>
    <x v="1"/>
    <x v="0"/>
    <s v="Prazo"/>
    <n v="0"/>
  </r>
  <r>
    <d v="2018-07-30T00:00:00"/>
    <d v="2018-07-12T00:00:00"/>
    <d v="2018-07-30T00:00:00"/>
    <x v="0"/>
    <x v="3"/>
    <s v="NF6298"/>
    <n v="2713"/>
    <x v="10"/>
    <n v="2018"/>
    <x v="11"/>
    <x v="1"/>
    <x v="11"/>
    <x v="1"/>
    <x v="0"/>
    <s v="Prazo"/>
    <n v="0"/>
  </r>
  <r>
    <d v="2018-07-21T00:00:00"/>
    <d v="2018-07-16T00:00:00"/>
    <d v="2018-07-21T00:00:00"/>
    <x v="0"/>
    <x v="1"/>
    <s v="NF7941"/>
    <n v="3482"/>
    <x v="10"/>
    <n v="2018"/>
    <x v="11"/>
    <x v="1"/>
    <x v="11"/>
    <x v="1"/>
    <x v="0"/>
    <s v="Prazo"/>
    <n v="0"/>
  </r>
  <r>
    <s v=""/>
    <d v="2018-07-18T00:00:00"/>
    <d v="2018-09-03T00:00:00"/>
    <x v="0"/>
    <x v="1"/>
    <s v="NF3604"/>
    <n v="2071"/>
    <x v="4"/>
    <n v="0"/>
    <x v="11"/>
    <x v="1"/>
    <x v="1"/>
    <x v="1"/>
    <x v="1"/>
    <s v="Prazo"/>
    <n v="2007"/>
  </r>
  <r>
    <s v=""/>
    <d v="2018-07-23T00:00:00"/>
    <d v="2018-07-23T00:00:00"/>
    <x v="0"/>
    <x v="2"/>
    <s v="NF4605"/>
    <n v="4258"/>
    <x v="4"/>
    <n v="0"/>
    <x v="11"/>
    <x v="1"/>
    <x v="11"/>
    <x v="1"/>
    <x v="1"/>
    <s v="Vista"/>
    <n v="2049"/>
  </r>
  <r>
    <d v="2018-09-07T00:00:00"/>
    <d v="2018-07-25T00:00:00"/>
    <d v="2018-09-07T00:00:00"/>
    <x v="0"/>
    <x v="0"/>
    <s v="NF1759"/>
    <n v="4383"/>
    <x v="0"/>
    <n v="2018"/>
    <x v="11"/>
    <x v="1"/>
    <x v="1"/>
    <x v="1"/>
    <x v="0"/>
    <s v="Prazo"/>
    <n v="0"/>
  </r>
  <r>
    <s v=""/>
    <d v="2018-07-29T00:00:00"/>
    <d v="2018-07-29T00:00:00"/>
    <x v="0"/>
    <x v="1"/>
    <s v="NF2800"/>
    <n v="1369"/>
    <x v="4"/>
    <n v="0"/>
    <x v="11"/>
    <x v="1"/>
    <x v="11"/>
    <x v="1"/>
    <x v="1"/>
    <s v="Vista"/>
    <n v="2043"/>
  </r>
  <r>
    <d v="2018-11-05T00:00:00"/>
    <d v="2018-08-03T00:00:00"/>
    <d v="2018-09-14T00:00:00"/>
    <x v="0"/>
    <x v="1"/>
    <s v="NF7248"/>
    <n v="331"/>
    <x v="2"/>
    <n v="2018"/>
    <x v="0"/>
    <x v="1"/>
    <x v="1"/>
    <x v="1"/>
    <x v="0"/>
    <s v="Prazo"/>
    <n v="52"/>
  </r>
  <r>
    <d v="2018-09-25T00:00:00"/>
    <d v="2018-08-06T00:00:00"/>
    <d v="2018-08-06T00:00:00"/>
    <x v="0"/>
    <x v="1"/>
    <s v="NF5280"/>
    <n v="3031"/>
    <x v="0"/>
    <n v="2018"/>
    <x v="0"/>
    <x v="1"/>
    <x v="0"/>
    <x v="1"/>
    <x v="0"/>
    <s v="Vista"/>
    <n v="50"/>
  </r>
  <r>
    <d v="2018-08-29T00:00:00"/>
    <d v="2018-08-09T00:00:00"/>
    <d v="2018-08-29T00:00:00"/>
    <x v="0"/>
    <x v="0"/>
    <s v="NF2968"/>
    <n v="1200"/>
    <x v="12"/>
    <n v="2018"/>
    <x v="0"/>
    <x v="1"/>
    <x v="0"/>
    <x v="1"/>
    <x v="0"/>
    <s v="Prazo"/>
    <n v="0"/>
  </r>
  <r>
    <d v="2018-08-11T00:00:00"/>
    <d v="2018-08-11T00:00:00"/>
    <d v="2018-08-11T00:00:00"/>
    <x v="0"/>
    <x v="0"/>
    <s v="NF4862"/>
    <n v="405"/>
    <x v="12"/>
    <n v="2018"/>
    <x v="0"/>
    <x v="1"/>
    <x v="0"/>
    <x v="1"/>
    <x v="0"/>
    <s v="Vista"/>
    <n v="0"/>
  </r>
  <r>
    <d v="2018-09-17T00:00:00"/>
    <d v="2018-08-14T00:00:00"/>
    <d v="2018-09-17T00:00:00"/>
    <x v="0"/>
    <x v="3"/>
    <s v="NF2988"/>
    <n v="3080"/>
    <x v="0"/>
    <n v="2018"/>
    <x v="0"/>
    <x v="1"/>
    <x v="1"/>
    <x v="1"/>
    <x v="0"/>
    <s v="Prazo"/>
    <n v="0"/>
  </r>
  <r>
    <d v="2018-08-17T00:00:00"/>
    <d v="2018-08-17T00:00:00"/>
    <d v="2018-08-17T00:00:00"/>
    <x v="0"/>
    <x v="1"/>
    <s v="NF6224"/>
    <n v="2137"/>
    <x v="12"/>
    <n v="2018"/>
    <x v="0"/>
    <x v="1"/>
    <x v="0"/>
    <x v="1"/>
    <x v="0"/>
    <s v="Vista"/>
    <n v="0"/>
  </r>
  <r>
    <d v="2018-08-24T00:00:00"/>
    <d v="2018-08-24T00:00:00"/>
    <d v="2018-08-24T00:00:00"/>
    <x v="0"/>
    <x v="2"/>
    <s v="NF6974"/>
    <n v="4287"/>
    <x v="12"/>
    <n v="2018"/>
    <x v="0"/>
    <x v="1"/>
    <x v="0"/>
    <x v="1"/>
    <x v="0"/>
    <s v="Vista"/>
    <n v="0"/>
  </r>
  <r>
    <d v="2019-01-10T00:00:00"/>
    <d v="2018-08-26T00:00:00"/>
    <d v="2018-10-22T00:00:00"/>
    <x v="0"/>
    <x v="2"/>
    <s v="NF3171"/>
    <n v="4857"/>
    <x v="5"/>
    <n v="2019"/>
    <x v="0"/>
    <x v="1"/>
    <x v="2"/>
    <x v="1"/>
    <x v="0"/>
    <s v="Prazo"/>
    <n v="80"/>
  </r>
  <r>
    <d v="2018-10-20T00:00:00"/>
    <d v="2018-08-30T00:00:00"/>
    <d v="2018-10-20T00:00:00"/>
    <x v="0"/>
    <x v="1"/>
    <s v="NF9089"/>
    <n v="507"/>
    <x v="1"/>
    <n v="2018"/>
    <x v="0"/>
    <x v="1"/>
    <x v="2"/>
    <x v="1"/>
    <x v="0"/>
    <s v="Prazo"/>
    <n v="0"/>
  </r>
  <r>
    <d v="2018-11-01T00:00:00"/>
    <d v="2018-08-31T00:00:00"/>
    <d v="2018-09-11T00:00:00"/>
    <x v="0"/>
    <x v="0"/>
    <s v="NF9607"/>
    <n v="2467"/>
    <x v="2"/>
    <n v="2018"/>
    <x v="0"/>
    <x v="1"/>
    <x v="1"/>
    <x v="1"/>
    <x v="0"/>
    <s v="Prazo"/>
    <n v="51"/>
  </r>
  <r>
    <d v="2018-09-27T00:00:00"/>
    <d v="2018-09-01T00:00:00"/>
    <d v="2018-09-27T00:00:00"/>
    <x v="0"/>
    <x v="1"/>
    <s v="NF6643"/>
    <n v="4253"/>
    <x v="0"/>
    <n v="2018"/>
    <x v="1"/>
    <x v="1"/>
    <x v="1"/>
    <x v="1"/>
    <x v="0"/>
    <s v="Prazo"/>
    <n v="0"/>
  </r>
  <r>
    <d v="2018-09-07T00:00:00"/>
    <d v="2018-09-07T00:00:00"/>
    <d v="2018-09-07T00:00:00"/>
    <x v="0"/>
    <x v="2"/>
    <s v="NF3939"/>
    <n v="2391"/>
    <x v="0"/>
    <n v="2018"/>
    <x v="1"/>
    <x v="1"/>
    <x v="1"/>
    <x v="1"/>
    <x v="0"/>
    <s v="Vista"/>
    <n v="0"/>
  </r>
  <r>
    <d v="2018-09-22T00:00:00"/>
    <d v="2018-09-09T00:00:00"/>
    <d v="2018-09-22T00:00:00"/>
    <x v="0"/>
    <x v="1"/>
    <s v="NF3599"/>
    <n v="3669"/>
    <x v="0"/>
    <n v="2018"/>
    <x v="1"/>
    <x v="1"/>
    <x v="1"/>
    <x v="1"/>
    <x v="0"/>
    <s v="Prazo"/>
    <n v="0"/>
  </r>
  <r>
    <d v="2018-10-10T00:00:00"/>
    <d v="2018-09-12T00:00:00"/>
    <d v="2018-10-10T00:00:00"/>
    <x v="0"/>
    <x v="1"/>
    <s v="NF9914"/>
    <n v="1207"/>
    <x v="1"/>
    <n v="2018"/>
    <x v="1"/>
    <x v="1"/>
    <x v="2"/>
    <x v="1"/>
    <x v="0"/>
    <s v="Prazo"/>
    <n v="0"/>
  </r>
  <r>
    <d v="2018-11-08T00:00:00"/>
    <d v="2018-09-18T00:00:00"/>
    <d v="2018-11-08T00:00:00"/>
    <x v="0"/>
    <x v="0"/>
    <s v="NF5492"/>
    <n v="2539"/>
    <x v="2"/>
    <n v="2018"/>
    <x v="1"/>
    <x v="1"/>
    <x v="3"/>
    <x v="1"/>
    <x v="0"/>
    <s v="Prazo"/>
    <n v="0"/>
  </r>
  <r>
    <d v="2018-10-01T00:00:00"/>
    <d v="2018-09-20T00:00:00"/>
    <d v="2018-10-01T00:00:00"/>
    <x v="0"/>
    <x v="4"/>
    <s v="NF7516"/>
    <n v="2895"/>
    <x v="1"/>
    <n v="2018"/>
    <x v="1"/>
    <x v="1"/>
    <x v="2"/>
    <x v="1"/>
    <x v="0"/>
    <s v="Prazo"/>
    <n v="0"/>
  </r>
  <r>
    <d v="2018-11-18T00:00:00"/>
    <d v="2018-09-21T00:00:00"/>
    <d v="2018-09-21T00:00:00"/>
    <x v="0"/>
    <x v="1"/>
    <s v="NF8652"/>
    <n v="2106"/>
    <x v="2"/>
    <n v="2018"/>
    <x v="1"/>
    <x v="1"/>
    <x v="1"/>
    <x v="1"/>
    <x v="0"/>
    <s v="Vista"/>
    <n v="58"/>
  </r>
  <r>
    <d v="2018-11-01T00:00:00"/>
    <d v="2018-09-23T00:00:00"/>
    <d v="2018-11-01T00:00:00"/>
    <x v="0"/>
    <x v="4"/>
    <s v="NF4809"/>
    <n v="3742"/>
    <x v="2"/>
    <n v="2018"/>
    <x v="1"/>
    <x v="1"/>
    <x v="3"/>
    <x v="1"/>
    <x v="0"/>
    <s v="Prazo"/>
    <n v="0"/>
  </r>
  <r>
    <d v="2018-09-26T00:00:00"/>
    <d v="2018-09-26T00:00:00"/>
    <d v="2018-09-26T00:00:00"/>
    <x v="0"/>
    <x v="0"/>
    <s v="NF5491"/>
    <n v="3222"/>
    <x v="0"/>
    <n v="2018"/>
    <x v="1"/>
    <x v="1"/>
    <x v="1"/>
    <x v="1"/>
    <x v="0"/>
    <s v="Vista"/>
    <n v="0"/>
  </r>
  <r>
    <d v="2018-10-19T00:00:00"/>
    <d v="2018-10-01T00:00:00"/>
    <d v="2018-10-19T00:00:00"/>
    <x v="0"/>
    <x v="1"/>
    <s v="NF7862"/>
    <n v="673"/>
    <x v="1"/>
    <n v="2018"/>
    <x v="2"/>
    <x v="1"/>
    <x v="2"/>
    <x v="1"/>
    <x v="0"/>
    <s v="Prazo"/>
    <n v="0"/>
  </r>
  <r>
    <d v="2018-10-26T00:00:00"/>
    <d v="2018-10-05T00:00:00"/>
    <d v="2018-10-26T00:00:00"/>
    <x v="0"/>
    <x v="3"/>
    <s v="NF3137"/>
    <n v="4922"/>
    <x v="1"/>
    <n v="2018"/>
    <x v="2"/>
    <x v="1"/>
    <x v="2"/>
    <x v="1"/>
    <x v="0"/>
    <s v="Prazo"/>
    <n v="0"/>
  </r>
  <r>
    <d v="2018-11-28T00:00:00"/>
    <d v="2018-10-09T00:00:00"/>
    <d v="2018-11-28T00:00:00"/>
    <x v="0"/>
    <x v="2"/>
    <s v="NF2705"/>
    <n v="1688"/>
    <x v="2"/>
    <n v="2018"/>
    <x v="2"/>
    <x v="1"/>
    <x v="3"/>
    <x v="1"/>
    <x v="0"/>
    <s v="Prazo"/>
    <n v="0"/>
  </r>
  <r>
    <d v="2018-10-09T00:00:00"/>
    <d v="2018-10-09T00:00:00"/>
    <d v="2018-10-09T00:00:00"/>
    <x v="0"/>
    <x v="2"/>
    <s v="NF9537"/>
    <n v="979"/>
    <x v="1"/>
    <n v="2018"/>
    <x v="2"/>
    <x v="1"/>
    <x v="2"/>
    <x v="1"/>
    <x v="0"/>
    <s v="Vista"/>
    <n v="0"/>
  </r>
  <r>
    <d v="2018-10-27T00:00:00"/>
    <d v="2018-10-14T00:00:00"/>
    <d v="2018-10-27T00:00:00"/>
    <x v="0"/>
    <x v="1"/>
    <s v="NF1700"/>
    <n v="3744"/>
    <x v="1"/>
    <n v="2018"/>
    <x v="2"/>
    <x v="1"/>
    <x v="2"/>
    <x v="1"/>
    <x v="0"/>
    <s v="Prazo"/>
    <n v="0"/>
  </r>
  <r>
    <s v=""/>
    <d v="2018-10-16T00:00:00"/>
    <d v="2018-12-04T00:00:00"/>
    <x v="0"/>
    <x v="2"/>
    <s v="NF9052"/>
    <n v="4061"/>
    <x v="4"/>
    <n v="0"/>
    <x v="2"/>
    <x v="1"/>
    <x v="5"/>
    <x v="1"/>
    <x v="1"/>
    <s v="Prazo"/>
    <n v="1915"/>
  </r>
  <r>
    <d v="2018-12-01T00:00:00"/>
    <d v="2018-10-21T00:00:00"/>
    <d v="2018-12-01T00:00:00"/>
    <x v="0"/>
    <x v="0"/>
    <s v="NF9827"/>
    <n v="4404"/>
    <x v="3"/>
    <n v="2018"/>
    <x v="2"/>
    <x v="1"/>
    <x v="5"/>
    <x v="1"/>
    <x v="0"/>
    <s v="Prazo"/>
    <n v="0"/>
  </r>
  <r>
    <d v="2018-11-20T00:00:00"/>
    <d v="2018-10-25T00:00:00"/>
    <d v="2018-11-15T00:00:00"/>
    <x v="0"/>
    <x v="1"/>
    <s v="NF4056"/>
    <n v="2429"/>
    <x v="2"/>
    <n v="2018"/>
    <x v="2"/>
    <x v="1"/>
    <x v="3"/>
    <x v="1"/>
    <x v="0"/>
    <s v="Prazo"/>
    <n v="5"/>
  </r>
  <r>
    <d v="2018-10-25T00:00:00"/>
    <d v="2018-10-25T00:00:00"/>
    <d v="2018-10-25T00:00:00"/>
    <x v="0"/>
    <x v="0"/>
    <s v="NF4381"/>
    <n v="2713"/>
    <x v="1"/>
    <n v="2018"/>
    <x v="2"/>
    <x v="1"/>
    <x v="2"/>
    <x v="1"/>
    <x v="0"/>
    <s v="Vista"/>
    <n v="0"/>
  </r>
  <r>
    <s v=""/>
    <d v="2018-10-30T00:00:00"/>
    <d v="2018-10-30T00:00:00"/>
    <x v="0"/>
    <x v="1"/>
    <s v="NF5374"/>
    <n v="3787"/>
    <x v="4"/>
    <n v="0"/>
    <x v="2"/>
    <x v="1"/>
    <x v="2"/>
    <x v="1"/>
    <x v="1"/>
    <s v="Vista"/>
    <n v="1950"/>
  </r>
  <r>
    <d v="2018-12-08T00:00:00"/>
    <d v="2018-11-04T00:00:00"/>
    <d v="2018-12-08T00:00:00"/>
    <x v="0"/>
    <x v="4"/>
    <s v="NF4782"/>
    <n v="1820"/>
    <x v="3"/>
    <n v="2018"/>
    <x v="3"/>
    <x v="1"/>
    <x v="5"/>
    <x v="1"/>
    <x v="0"/>
    <s v="Prazo"/>
    <n v="0"/>
  </r>
  <r>
    <d v="2018-11-27T00:00:00"/>
    <d v="2018-11-08T00:00:00"/>
    <d v="2018-11-27T00:00:00"/>
    <x v="0"/>
    <x v="1"/>
    <s v="NF9770"/>
    <n v="4135"/>
    <x v="2"/>
    <n v="2018"/>
    <x v="3"/>
    <x v="1"/>
    <x v="3"/>
    <x v="1"/>
    <x v="0"/>
    <s v="Prazo"/>
    <n v="0"/>
  </r>
  <r>
    <d v="2018-11-17T00:00:00"/>
    <d v="2018-11-11T00:00:00"/>
    <d v="2018-11-17T00:00:00"/>
    <x v="0"/>
    <x v="1"/>
    <s v="NF3186"/>
    <n v="3902"/>
    <x v="2"/>
    <n v="2018"/>
    <x v="3"/>
    <x v="1"/>
    <x v="3"/>
    <x v="1"/>
    <x v="0"/>
    <s v="Prazo"/>
    <n v="0"/>
  </r>
  <r>
    <d v="2018-11-14T00:00:00"/>
    <d v="2018-11-14T00:00:00"/>
    <d v="2018-11-14T00:00:00"/>
    <x v="0"/>
    <x v="1"/>
    <s v="NF7423"/>
    <n v="4319"/>
    <x v="2"/>
    <n v="2018"/>
    <x v="3"/>
    <x v="1"/>
    <x v="3"/>
    <x v="1"/>
    <x v="0"/>
    <s v="Vista"/>
    <n v="0"/>
  </r>
  <r>
    <d v="2019-03-13T00:00:00"/>
    <d v="2018-11-17T00:00:00"/>
    <d v="2018-12-30T00:00:00"/>
    <x v="0"/>
    <x v="0"/>
    <s v="NF3114"/>
    <n v="3068"/>
    <x v="7"/>
    <n v="2019"/>
    <x v="3"/>
    <x v="1"/>
    <x v="5"/>
    <x v="1"/>
    <x v="0"/>
    <s v="Prazo"/>
    <n v="73"/>
  </r>
  <r>
    <d v="2018-11-21T00:00:00"/>
    <d v="2018-11-21T00:00:00"/>
    <d v="2018-11-21T00:00:00"/>
    <x v="0"/>
    <x v="1"/>
    <s v="NF1359"/>
    <n v="1880"/>
    <x v="2"/>
    <n v="2018"/>
    <x v="3"/>
    <x v="1"/>
    <x v="3"/>
    <x v="1"/>
    <x v="0"/>
    <s v="Vista"/>
    <n v="0"/>
  </r>
  <r>
    <d v="2018-12-31T00:00:00"/>
    <d v="2018-11-23T00:00:00"/>
    <d v="2018-12-31T00:00:00"/>
    <x v="0"/>
    <x v="1"/>
    <s v="NF5107"/>
    <n v="1414"/>
    <x v="3"/>
    <n v="2018"/>
    <x v="3"/>
    <x v="1"/>
    <x v="5"/>
    <x v="1"/>
    <x v="0"/>
    <s v="Prazo"/>
    <n v="0"/>
  </r>
  <r>
    <d v="2018-12-23T00:00:00"/>
    <d v="2018-11-26T00:00:00"/>
    <d v="2018-12-13T00:00:00"/>
    <x v="0"/>
    <x v="3"/>
    <s v="NF4367"/>
    <n v="919"/>
    <x v="3"/>
    <n v="2018"/>
    <x v="3"/>
    <x v="1"/>
    <x v="5"/>
    <x v="1"/>
    <x v="0"/>
    <s v="Prazo"/>
    <n v="10"/>
  </r>
  <r>
    <d v="2018-11-27T00:00:00"/>
    <d v="2018-11-27T00:00:00"/>
    <d v="2018-11-27T00:00:00"/>
    <x v="0"/>
    <x v="1"/>
    <s v="NF8386"/>
    <n v="4801"/>
    <x v="2"/>
    <n v="2018"/>
    <x v="3"/>
    <x v="1"/>
    <x v="3"/>
    <x v="1"/>
    <x v="0"/>
    <s v="Vista"/>
    <n v="0"/>
  </r>
  <r>
    <d v="2018-11-30T00:00:00"/>
    <d v="2018-11-30T00:00:00"/>
    <d v="2018-11-30T00:00:00"/>
    <x v="0"/>
    <x v="2"/>
    <s v="NF5922"/>
    <n v="4639"/>
    <x v="2"/>
    <n v="2018"/>
    <x v="3"/>
    <x v="1"/>
    <x v="3"/>
    <x v="1"/>
    <x v="0"/>
    <s v="Vista"/>
    <n v="0"/>
  </r>
  <r>
    <s v=""/>
    <d v="2018-12-06T00:00:00"/>
    <d v="2019-01-22T00:00:00"/>
    <x v="0"/>
    <x v="1"/>
    <s v="NF9970"/>
    <n v="1209"/>
    <x v="4"/>
    <n v="0"/>
    <x v="4"/>
    <x v="1"/>
    <x v="4"/>
    <x v="2"/>
    <x v="1"/>
    <s v="Prazo"/>
    <n v="1866"/>
  </r>
  <r>
    <d v="2019-04-05T00:00:00"/>
    <d v="2018-12-10T00:00:00"/>
    <d v="2019-01-12T00:00:00"/>
    <x v="0"/>
    <x v="2"/>
    <s v="NF1938"/>
    <n v="483"/>
    <x v="8"/>
    <n v="2019"/>
    <x v="4"/>
    <x v="1"/>
    <x v="4"/>
    <x v="2"/>
    <x v="0"/>
    <s v="Prazo"/>
    <n v="83"/>
  </r>
  <r>
    <d v="2019-02-07T00:00:00"/>
    <d v="2018-12-17T00:00:00"/>
    <d v="2019-01-04T00:00:00"/>
    <x v="0"/>
    <x v="1"/>
    <s v="NF7772"/>
    <n v="373"/>
    <x v="6"/>
    <n v="2019"/>
    <x v="4"/>
    <x v="1"/>
    <x v="4"/>
    <x v="2"/>
    <x v="0"/>
    <s v="Prazo"/>
    <n v="34"/>
  </r>
  <r>
    <d v="2018-12-25T00:00:00"/>
    <d v="2018-12-20T00:00:00"/>
    <d v="2018-12-25T00:00:00"/>
    <x v="0"/>
    <x v="0"/>
    <s v="NF9932"/>
    <n v="2088"/>
    <x v="3"/>
    <n v="2018"/>
    <x v="4"/>
    <x v="1"/>
    <x v="5"/>
    <x v="1"/>
    <x v="0"/>
    <s v="Prazo"/>
    <n v="0"/>
  </r>
  <r>
    <d v="2019-02-01T00:00:00"/>
    <d v="2018-12-21T00:00:00"/>
    <d v="2019-02-01T00:00:00"/>
    <x v="0"/>
    <x v="2"/>
    <s v="NF2970"/>
    <n v="1168"/>
    <x v="6"/>
    <n v="2019"/>
    <x v="4"/>
    <x v="1"/>
    <x v="6"/>
    <x v="2"/>
    <x v="0"/>
    <s v="Prazo"/>
    <n v="0"/>
  </r>
  <r>
    <d v="2018-12-23T00:00:00"/>
    <d v="2018-12-23T00:00:00"/>
    <d v="2018-12-23T00:00:00"/>
    <x v="0"/>
    <x v="2"/>
    <s v="NF4423"/>
    <n v="4429"/>
    <x v="3"/>
    <n v="2018"/>
    <x v="4"/>
    <x v="1"/>
    <x v="5"/>
    <x v="1"/>
    <x v="0"/>
    <s v="Vista"/>
    <n v="0"/>
  </r>
  <r>
    <d v="2019-02-23T00:00:00"/>
    <d v="2018-12-28T00:00:00"/>
    <d v="2019-02-23T00:00:00"/>
    <x v="0"/>
    <x v="1"/>
    <s v="NF9682"/>
    <n v="4955"/>
    <x v="6"/>
    <n v="2019"/>
    <x v="4"/>
    <x v="1"/>
    <x v="6"/>
    <x v="2"/>
    <x v="0"/>
    <s v="Prazo"/>
    <n v="0"/>
  </r>
  <r>
    <d v="2019-01-18T00:00:00"/>
    <d v="2018-12-31T00:00:00"/>
    <d v="2019-01-18T00:00:00"/>
    <x v="0"/>
    <x v="1"/>
    <s v="NF7840"/>
    <n v="3201"/>
    <x v="5"/>
    <n v="2019"/>
    <x v="4"/>
    <x v="1"/>
    <x v="4"/>
    <x v="2"/>
    <x v="0"/>
    <s v="Prazo"/>
    <n v="0"/>
  </r>
  <r>
    <d v="2019-02-15T00:00:00"/>
    <d v="2019-01-04T00:00:00"/>
    <d v="2019-02-15T00:00:00"/>
    <x v="0"/>
    <x v="4"/>
    <s v="NF4946"/>
    <n v="3007"/>
    <x v="6"/>
    <n v="2019"/>
    <x v="5"/>
    <x v="2"/>
    <x v="6"/>
    <x v="2"/>
    <x v="0"/>
    <s v="Prazo"/>
    <n v="0"/>
  </r>
  <r>
    <d v="2019-01-08T00:00:00"/>
    <d v="2019-01-08T00:00:00"/>
    <d v="2019-01-08T00:00:00"/>
    <x v="0"/>
    <x v="2"/>
    <s v="NF6806"/>
    <n v="900"/>
    <x v="5"/>
    <n v="2019"/>
    <x v="5"/>
    <x v="2"/>
    <x v="4"/>
    <x v="2"/>
    <x v="0"/>
    <s v="Vista"/>
    <n v="0"/>
  </r>
  <r>
    <d v="2019-01-13T00:00:00"/>
    <d v="2019-01-13T00:00:00"/>
    <d v="2019-01-13T00:00:00"/>
    <x v="0"/>
    <x v="1"/>
    <s v="NF3882"/>
    <n v="2970"/>
    <x v="5"/>
    <n v="2019"/>
    <x v="5"/>
    <x v="2"/>
    <x v="4"/>
    <x v="2"/>
    <x v="0"/>
    <s v="Vista"/>
    <n v="0"/>
  </r>
  <r>
    <d v="2019-03-14T00:00:00"/>
    <d v="2019-01-17T00:00:00"/>
    <d v="2019-03-14T00:00:00"/>
    <x v="0"/>
    <x v="3"/>
    <s v="NF1850"/>
    <n v="4993"/>
    <x v="7"/>
    <n v="2019"/>
    <x v="5"/>
    <x v="2"/>
    <x v="7"/>
    <x v="2"/>
    <x v="0"/>
    <s v="Prazo"/>
    <n v="0"/>
  </r>
  <r>
    <d v="2019-01-20T00:00:00"/>
    <d v="2019-01-20T00:00:00"/>
    <d v="2019-01-20T00:00:00"/>
    <x v="0"/>
    <x v="2"/>
    <s v="NF7979"/>
    <n v="1664"/>
    <x v="5"/>
    <n v="2019"/>
    <x v="5"/>
    <x v="2"/>
    <x v="4"/>
    <x v="2"/>
    <x v="0"/>
    <s v="Vista"/>
    <n v="0"/>
  </r>
  <r>
    <s v=""/>
    <d v="2019-01-21T00:00:00"/>
    <d v="2019-02-26T00:00:00"/>
    <x v="0"/>
    <x v="1"/>
    <s v="NF1547"/>
    <n v="1815"/>
    <x v="4"/>
    <n v="0"/>
    <x v="5"/>
    <x v="2"/>
    <x v="6"/>
    <x v="2"/>
    <x v="1"/>
    <s v="Prazo"/>
    <n v="1831"/>
  </r>
  <r>
    <d v="2019-02-09T00:00:00"/>
    <d v="2019-01-23T00:00:00"/>
    <d v="2019-02-09T00:00:00"/>
    <x v="0"/>
    <x v="4"/>
    <s v="NF2309"/>
    <n v="3752"/>
    <x v="6"/>
    <n v="2019"/>
    <x v="5"/>
    <x v="2"/>
    <x v="6"/>
    <x v="2"/>
    <x v="0"/>
    <s v="Prazo"/>
    <n v="0"/>
  </r>
  <r>
    <s v=""/>
    <d v="2019-01-27T00:00:00"/>
    <d v="2019-02-17T00:00:00"/>
    <x v="0"/>
    <x v="1"/>
    <s v="NF5791"/>
    <n v="177"/>
    <x v="4"/>
    <n v="0"/>
    <x v="5"/>
    <x v="2"/>
    <x v="6"/>
    <x v="2"/>
    <x v="1"/>
    <s v="Prazo"/>
    <n v="1840"/>
  </r>
  <r>
    <d v="2019-01-29T00:00:00"/>
    <d v="2019-01-29T00:00:00"/>
    <d v="2019-01-29T00:00:00"/>
    <x v="0"/>
    <x v="1"/>
    <s v="NF2982"/>
    <n v="3619"/>
    <x v="5"/>
    <n v="2019"/>
    <x v="5"/>
    <x v="2"/>
    <x v="4"/>
    <x v="2"/>
    <x v="0"/>
    <s v="Vista"/>
    <n v="0"/>
  </r>
  <r>
    <d v="2019-03-11T00:00:00"/>
    <d v="2019-02-02T00:00:00"/>
    <d v="2019-03-10T00:00:00"/>
    <x v="0"/>
    <x v="4"/>
    <s v="NF1796"/>
    <n v="4030"/>
    <x v="7"/>
    <n v="2019"/>
    <x v="6"/>
    <x v="2"/>
    <x v="7"/>
    <x v="2"/>
    <x v="0"/>
    <s v="Prazo"/>
    <n v="1"/>
  </r>
  <r>
    <d v="2019-02-16T00:00:00"/>
    <d v="2019-02-05T00:00:00"/>
    <d v="2019-02-16T00:00:00"/>
    <x v="0"/>
    <x v="4"/>
    <s v="NF2396"/>
    <n v="4157"/>
    <x v="6"/>
    <n v="2019"/>
    <x v="6"/>
    <x v="2"/>
    <x v="6"/>
    <x v="2"/>
    <x v="0"/>
    <s v="Prazo"/>
    <n v="0"/>
  </r>
  <r>
    <d v="2019-03-08T00:00:00"/>
    <d v="2019-02-06T00:00:00"/>
    <d v="2019-03-08T00:00:00"/>
    <x v="0"/>
    <x v="0"/>
    <s v="NF8281"/>
    <n v="1417"/>
    <x v="7"/>
    <n v="2019"/>
    <x v="6"/>
    <x v="2"/>
    <x v="7"/>
    <x v="2"/>
    <x v="0"/>
    <s v="Prazo"/>
    <n v="0"/>
  </r>
  <r>
    <d v="2019-03-16T00:00:00"/>
    <d v="2019-02-09T00:00:00"/>
    <d v="2019-03-16T00:00:00"/>
    <x v="0"/>
    <x v="2"/>
    <s v="NF3155"/>
    <n v="1117"/>
    <x v="7"/>
    <n v="2019"/>
    <x v="6"/>
    <x v="2"/>
    <x v="7"/>
    <x v="2"/>
    <x v="0"/>
    <s v="Prazo"/>
    <n v="0"/>
  </r>
  <r>
    <d v="2019-03-17T00:00:00"/>
    <d v="2019-02-10T00:00:00"/>
    <d v="2019-03-17T00:00:00"/>
    <x v="0"/>
    <x v="3"/>
    <s v="NF4849"/>
    <n v="4461"/>
    <x v="7"/>
    <n v="2019"/>
    <x v="6"/>
    <x v="2"/>
    <x v="7"/>
    <x v="2"/>
    <x v="0"/>
    <s v="Prazo"/>
    <n v="0"/>
  </r>
  <r>
    <d v="2019-03-25T00:00:00"/>
    <d v="2019-02-12T00:00:00"/>
    <d v="2019-02-12T00:00:00"/>
    <x v="0"/>
    <x v="1"/>
    <s v="NF4647"/>
    <n v="3732"/>
    <x v="7"/>
    <n v="2019"/>
    <x v="6"/>
    <x v="2"/>
    <x v="6"/>
    <x v="2"/>
    <x v="0"/>
    <s v="Vista"/>
    <n v="41"/>
  </r>
  <r>
    <d v="2019-02-13T00:00:00"/>
    <d v="2019-02-13T00:00:00"/>
    <d v="2019-02-13T00:00:00"/>
    <x v="0"/>
    <x v="2"/>
    <s v="NF9056"/>
    <n v="2024"/>
    <x v="6"/>
    <n v="2019"/>
    <x v="6"/>
    <x v="2"/>
    <x v="6"/>
    <x v="2"/>
    <x v="0"/>
    <s v="Vista"/>
    <n v="0"/>
  </r>
  <r>
    <d v="2019-02-16T00:00:00"/>
    <d v="2019-02-16T00:00:00"/>
    <d v="2019-02-16T00:00:00"/>
    <x v="0"/>
    <x v="1"/>
    <s v="NF4097"/>
    <n v="928"/>
    <x v="6"/>
    <n v="2019"/>
    <x v="6"/>
    <x v="2"/>
    <x v="6"/>
    <x v="2"/>
    <x v="0"/>
    <s v="Vista"/>
    <n v="0"/>
  </r>
  <r>
    <d v="2019-03-09T00:00:00"/>
    <d v="2019-02-17T00:00:00"/>
    <d v="2019-02-17T00:00:00"/>
    <x v="0"/>
    <x v="1"/>
    <s v="NF9792"/>
    <n v="3557"/>
    <x v="7"/>
    <n v="2019"/>
    <x v="6"/>
    <x v="2"/>
    <x v="6"/>
    <x v="2"/>
    <x v="0"/>
    <s v="Vista"/>
    <n v="20"/>
  </r>
  <r>
    <d v="2019-03-16T00:00:00"/>
    <d v="2019-02-18T00:00:00"/>
    <d v="2019-03-16T00:00:00"/>
    <x v="0"/>
    <x v="2"/>
    <s v="NF1943"/>
    <n v="741"/>
    <x v="7"/>
    <n v="2019"/>
    <x v="6"/>
    <x v="2"/>
    <x v="7"/>
    <x v="2"/>
    <x v="0"/>
    <s v="Prazo"/>
    <n v="0"/>
  </r>
  <r>
    <d v="2019-03-24T00:00:00"/>
    <d v="2019-02-21T00:00:00"/>
    <d v="2019-03-24T00:00:00"/>
    <x v="0"/>
    <x v="2"/>
    <s v="NF5598"/>
    <n v="850"/>
    <x v="7"/>
    <n v="2019"/>
    <x v="6"/>
    <x v="2"/>
    <x v="7"/>
    <x v="2"/>
    <x v="0"/>
    <s v="Prazo"/>
    <n v="0"/>
  </r>
  <r>
    <d v="2019-02-26T00:00:00"/>
    <d v="2019-02-26T00:00:00"/>
    <d v="2019-02-26T00:00:00"/>
    <x v="0"/>
    <x v="1"/>
    <s v="NF8881"/>
    <n v="4741"/>
    <x v="6"/>
    <n v="2019"/>
    <x v="6"/>
    <x v="2"/>
    <x v="6"/>
    <x v="2"/>
    <x v="0"/>
    <s v="Vista"/>
    <n v="0"/>
  </r>
  <r>
    <d v="2019-03-01T00:00:00"/>
    <d v="2019-03-01T00:00:00"/>
    <d v="2019-03-01T00:00:00"/>
    <x v="0"/>
    <x v="0"/>
    <s v="NF3500"/>
    <n v="471"/>
    <x v="7"/>
    <n v="2019"/>
    <x v="7"/>
    <x v="2"/>
    <x v="7"/>
    <x v="2"/>
    <x v="0"/>
    <s v="Vista"/>
    <n v="0"/>
  </r>
  <r>
    <d v="2019-03-03T00:00:00"/>
    <d v="2019-03-03T00:00:00"/>
    <d v="2019-03-03T00:00:00"/>
    <x v="0"/>
    <x v="0"/>
    <s v="NF3489"/>
    <n v="517"/>
    <x v="7"/>
    <n v="2019"/>
    <x v="7"/>
    <x v="2"/>
    <x v="7"/>
    <x v="2"/>
    <x v="0"/>
    <s v="Vista"/>
    <n v="0"/>
  </r>
  <r>
    <d v="2019-04-08T00:00:00"/>
    <d v="2019-03-10T00:00:00"/>
    <d v="2019-04-08T00:00:00"/>
    <x v="0"/>
    <x v="0"/>
    <s v="NF8682"/>
    <n v="3034"/>
    <x v="8"/>
    <n v="2019"/>
    <x v="7"/>
    <x v="2"/>
    <x v="8"/>
    <x v="2"/>
    <x v="0"/>
    <s v="Prazo"/>
    <n v="0"/>
  </r>
  <r>
    <d v="2019-04-23T00:00:00"/>
    <d v="2019-03-13T00:00:00"/>
    <d v="2019-04-23T00:00:00"/>
    <x v="0"/>
    <x v="1"/>
    <s v="NF8525"/>
    <n v="3172"/>
    <x v="8"/>
    <n v="2019"/>
    <x v="7"/>
    <x v="2"/>
    <x v="8"/>
    <x v="2"/>
    <x v="0"/>
    <s v="Prazo"/>
    <n v="0"/>
  </r>
  <r>
    <d v="2019-03-19T00:00:00"/>
    <d v="2019-03-19T00:00:00"/>
    <d v="2019-03-19T00:00:00"/>
    <x v="0"/>
    <x v="4"/>
    <s v="NF2006"/>
    <n v="2069"/>
    <x v="7"/>
    <n v="2019"/>
    <x v="7"/>
    <x v="2"/>
    <x v="7"/>
    <x v="2"/>
    <x v="0"/>
    <s v="Vista"/>
    <n v="0"/>
  </r>
  <r>
    <d v="2019-03-21T00:00:00"/>
    <d v="2019-03-21T00:00:00"/>
    <d v="2019-03-21T00:00:00"/>
    <x v="0"/>
    <x v="4"/>
    <s v="NF7648"/>
    <n v="3849"/>
    <x v="7"/>
    <n v="2019"/>
    <x v="7"/>
    <x v="2"/>
    <x v="7"/>
    <x v="2"/>
    <x v="0"/>
    <s v="Vista"/>
    <n v="0"/>
  </r>
  <r>
    <s v=""/>
    <d v="2019-03-27T00:00:00"/>
    <d v="2019-05-01T00:00:00"/>
    <x v="0"/>
    <x v="2"/>
    <s v="NF6770"/>
    <n v="4141"/>
    <x v="4"/>
    <n v="0"/>
    <x v="7"/>
    <x v="2"/>
    <x v="9"/>
    <x v="2"/>
    <x v="1"/>
    <s v="Prazo"/>
    <n v="1767"/>
  </r>
  <r>
    <d v="2019-06-27T00:00:00"/>
    <d v="2019-03-28T00:00:00"/>
    <d v="2019-05-01T00:00:00"/>
    <x v="0"/>
    <x v="2"/>
    <s v="NF2352"/>
    <n v="1348"/>
    <x v="11"/>
    <n v="2019"/>
    <x v="7"/>
    <x v="2"/>
    <x v="9"/>
    <x v="2"/>
    <x v="0"/>
    <s v="Prazo"/>
    <n v="57"/>
  </r>
  <r>
    <d v="2019-04-03T00:00:00"/>
    <d v="2019-04-03T00:00:00"/>
    <d v="2019-04-03T00:00:00"/>
    <x v="0"/>
    <x v="1"/>
    <s v="NF4686"/>
    <n v="1738"/>
    <x v="8"/>
    <n v="2019"/>
    <x v="8"/>
    <x v="2"/>
    <x v="8"/>
    <x v="2"/>
    <x v="0"/>
    <s v="Vista"/>
    <n v="0"/>
  </r>
  <r>
    <d v="2019-04-06T00:00:00"/>
    <d v="2019-04-06T00:00:00"/>
    <d v="2019-04-06T00:00:00"/>
    <x v="0"/>
    <x v="1"/>
    <s v="NF9108"/>
    <n v="732"/>
    <x v="8"/>
    <n v="2019"/>
    <x v="8"/>
    <x v="2"/>
    <x v="8"/>
    <x v="2"/>
    <x v="0"/>
    <s v="Vista"/>
    <n v="0"/>
  </r>
  <r>
    <d v="2019-06-09T00:00:00"/>
    <d v="2019-04-07T00:00:00"/>
    <d v="2019-05-01T00:00:00"/>
    <x v="0"/>
    <x v="2"/>
    <s v="NF1934"/>
    <n v="373"/>
    <x v="11"/>
    <n v="2019"/>
    <x v="8"/>
    <x v="2"/>
    <x v="9"/>
    <x v="2"/>
    <x v="0"/>
    <s v="Prazo"/>
    <n v="39"/>
  </r>
  <r>
    <d v="2019-05-24T00:00:00"/>
    <d v="2019-04-09T00:00:00"/>
    <d v="2019-05-24T00:00:00"/>
    <x v="0"/>
    <x v="0"/>
    <s v="NF5748"/>
    <n v="609"/>
    <x v="9"/>
    <n v="2019"/>
    <x v="8"/>
    <x v="2"/>
    <x v="9"/>
    <x v="2"/>
    <x v="0"/>
    <s v="Prazo"/>
    <n v="0"/>
  </r>
  <r>
    <d v="2019-05-30T00:00:00"/>
    <d v="2019-04-12T00:00:00"/>
    <d v="2019-05-30T00:00:00"/>
    <x v="0"/>
    <x v="1"/>
    <s v="NF3443"/>
    <n v="2883"/>
    <x v="9"/>
    <n v="2019"/>
    <x v="8"/>
    <x v="2"/>
    <x v="9"/>
    <x v="2"/>
    <x v="0"/>
    <s v="Prazo"/>
    <n v="0"/>
  </r>
  <r>
    <d v="2019-04-14T00:00:00"/>
    <d v="2019-04-14T00:00:00"/>
    <d v="2019-04-14T00:00:00"/>
    <x v="0"/>
    <x v="0"/>
    <s v="NF4433"/>
    <n v="4651"/>
    <x v="8"/>
    <n v="2019"/>
    <x v="8"/>
    <x v="2"/>
    <x v="8"/>
    <x v="2"/>
    <x v="0"/>
    <s v="Vista"/>
    <n v="0"/>
  </r>
  <r>
    <s v=""/>
    <d v="2019-04-18T00:00:00"/>
    <d v="2019-04-24T00:00:00"/>
    <x v="0"/>
    <x v="0"/>
    <s v="NF7700"/>
    <n v="4797"/>
    <x v="4"/>
    <n v="0"/>
    <x v="8"/>
    <x v="2"/>
    <x v="8"/>
    <x v="2"/>
    <x v="1"/>
    <s v="Prazo"/>
    <n v="1774"/>
  </r>
  <r>
    <d v="2019-05-13T00:00:00"/>
    <d v="2019-04-20T00:00:00"/>
    <d v="2019-05-13T00:00:00"/>
    <x v="0"/>
    <x v="4"/>
    <s v="NF8475"/>
    <n v="1620"/>
    <x v="9"/>
    <n v="2019"/>
    <x v="8"/>
    <x v="2"/>
    <x v="9"/>
    <x v="2"/>
    <x v="0"/>
    <s v="Prazo"/>
    <n v="0"/>
  </r>
  <r>
    <d v="2019-08-06T00:00:00"/>
    <d v="2019-04-27T00:00:00"/>
    <d v="2019-06-09T00:00:00"/>
    <x v="0"/>
    <x v="2"/>
    <s v="NF3694"/>
    <n v="245"/>
    <x v="12"/>
    <n v="2019"/>
    <x v="8"/>
    <x v="2"/>
    <x v="10"/>
    <x v="2"/>
    <x v="0"/>
    <s v="Prazo"/>
    <n v="58"/>
  </r>
  <r>
    <d v="2019-05-10T00:00:00"/>
    <d v="2019-04-29T00:00:00"/>
    <d v="2019-05-10T00:00:00"/>
    <x v="0"/>
    <x v="1"/>
    <s v="NF5571"/>
    <n v="2091"/>
    <x v="9"/>
    <n v="2019"/>
    <x v="8"/>
    <x v="2"/>
    <x v="9"/>
    <x v="2"/>
    <x v="0"/>
    <s v="Prazo"/>
    <n v="0"/>
  </r>
  <r>
    <d v="2019-05-09T00:00:00"/>
    <d v="2019-04-30T00:00:00"/>
    <d v="2019-05-09T00:00:00"/>
    <x v="0"/>
    <x v="1"/>
    <s v="NF7836"/>
    <n v="3200"/>
    <x v="9"/>
    <n v="2019"/>
    <x v="8"/>
    <x v="2"/>
    <x v="9"/>
    <x v="2"/>
    <x v="0"/>
    <s v="Prazo"/>
    <n v="0"/>
  </r>
  <r>
    <d v="2019-05-02T00:00:00"/>
    <d v="2019-05-02T00:00:00"/>
    <d v="2019-05-02T00:00:00"/>
    <x v="0"/>
    <x v="2"/>
    <s v="NF7705"/>
    <n v="583"/>
    <x v="9"/>
    <n v="2019"/>
    <x v="9"/>
    <x v="2"/>
    <x v="9"/>
    <x v="2"/>
    <x v="0"/>
    <s v="Vista"/>
    <n v="0"/>
  </r>
  <r>
    <d v="2019-06-10T00:00:00"/>
    <d v="2019-05-05T00:00:00"/>
    <d v="2019-06-10T00:00:00"/>
    <x v="0"/>
    <x v="1"/>
    <s v="NF1629"/>
    <n v="4505"/>
    <x v="11"/>
    <n v="2019"/>
    <x v="9"/>
    <x v="2"/>
    <x v="10"/>
    <x v="2"/>
    <x v="0"/>
    <s v="Prazo"/>
    <n v="0"/>
  </r>
  <r>
    <d v="2019-05-07T00:00:00"/>
    <d v="2019-05-07T00:00:00"/>
    <d v="2019-05-07T00:00:00"/>
    <x v="0"/>
    <x v="1"/>
    <s v="NF4027"/>
    <n v="343"/>
    <x v="9"/>
    <n v="2019"/>
    <x v="9"/>
    <x v="2"/>
    <x v="9"/>
    <x v="2"/>
    <x v="0"/>
    <s v="Vista"/>
    <n v="0"/>
  </r>
  <r>
    <d v="2019-05-18T00:00:00"/>
    <d v="2019-05-08T00:00:00"/>
    <d v="2019-05-18T00:00:00"/>
    <x v="0"/>
    <x v="0"/>
    <s v="NF7582"/>
    <n v="4510"/>
    <x v="9"/>
    <n v="2019"/>
    <x v="9"/>
    <x v="2"/>
    <x v="9"/>
    <x v="2"/>
    <x v="0"/>
    <s v="Prazo"/>
    <n v="0"/>
  </r>
  <r>
    <d v="2019-05-12T00:00:00"/>
    <d v="2019-05-12T00:00:00"/>
    <d v="2019-05-12T00:00:00"/>
    <x v="0"/>
    <x v="1"/>
    <s v="NF7868"/>
    <n v="667"/>
    <x v="9"/>
    <n v="2019"/>
    <x v="9"/>
    <x v="2"/>
    <x v="9"/>
    <x v="2"/>
    <x v="0"/>
    <s v="Vista"/>
    <n v="0"/>
  </r>
  <r>
    <d v="2019-06-15T00:00:00"/>
    <d v="2019-05-15T00:00:00"/>
    <d v="2019-06-15T00:00:00"/>
    <x v="0"/>
    <x v="1"/>
    <s v="NF6154"/>
    <n v="1006"/>
    <x v="11"/>
    <n v="2019"/>
    <x v="9"/>
    <x v="2"/>
    <x v="10"/>
    <x v="2"/>
    <x v="0"/>
    <s v="Prazo"/>
    <n v="0"/>
  </r>
  <r>
    <d v="2019-06-19T00:00:00"/>
    <d v="2019-05-19T00:00:00"/>
    <d v="2019-06-19T00:00:00"/>
    <x v="0"/>
    <x v="2"/>
    <s v="NF5531"/>
    <n v="1071"/>
    <x v="11"/>
    <n v="2019"/>
    <x v="9"/>
    <x v="2"/>
    <x v="10"/>
    <x v="2"/>
    <x v="0"/>
    <s v="Prazo"/>
    <n v="0"/>
  </r>
  <r>
    <d v="2019-06-14T00:00:00"/>
    <d v="2019-05-24T00:00:00"/>
    <d v="2019-06-14T00:00:00"/>
    <x v="0"/>
    <x v="4"/>
    <s v="NF9744"/>
    <n v="2194"/>
    <x v="11"/>
    <n v="2019"/>
    <x v="9"/>
    <x v="2"/>
    <x v="10"/>
    <x v="2"/>
    <x v="0"/>
    <s v="Prazo"/>
    <n v="0"/>
  </r>
  <r>
    <s v=""/>
    <d v="2019-05-26T00:00:00"/>
    <d v="2019-05-26T00:00:00"/>
    <x v="0"/>
    <x v="1"/>
    <s v="NF1516"/>
    <n v="2531"/>
    <x v="4"/>
    <n v="0"/>
    <x v="9"/>
    <x v="2"/>
    <x v="9"/>
    <x v="2"/>
    <x v="1"/>
    <s v="Vista"/>
    <n v="1742"/>
  </r>
  <r>
    <d v="2019-07-09T00:00:00"/>
    <d v="2019-05-29T00:00:00"/>
    <d v="2019-07-09T00:00:00"/>
    <x v="0"/>
    <x v="0"/>
    <s v="NF2007"/>
    <n v="657"/>
    <x v="10"/>
    <n v="2019"/>
    <x v="9"/>
    <x v="2"/>
    <x v="11"/>
    <x v="2"/>
    <x v="0"/>
    <s v="Prazo"/>
    <n v="0"/>
  </r>
  <r>
    <s v=""/>
    <d v="2019-05-30T00:00:00"/>
    <d v="2019-07-02T00:00:00"/>
    <x v="0"/>
    <x v="3"/>
    <s v="NF9904"/>
    <n v="4535"/>
    <x v="4"/>
    <n v="0"/>
    <x v="9"/>
    <x v="2"/>
    <x v="11"/>
    <x v="2"/>
    <x v="1"/>
    <s v="Prazo"/>
    <n v="1705"/>
  </r>
  <r>
    <d v="2019-06-25T00:00:00"/>
    <d v="2019-06-04T00:00:00"/>
    <d v="2019-06-25T00:00:00"/>
    <x v="0"/>
    <x v="1"/>
    <s v="NF8631"/>
    <n v="1848"/>
    <x v="11"/>
    <n v="2019"/>
    <x v="10"/>
    <x v="2"/>
    <x v="10"/>
    <x v="2"/>
    <x v="0"/>
    <s v="Prazo"/>
    <n v="0"/>
  </r>
  <r>
    <d v="2019-07-03T00:00:00"/>
    <d v="2019-06-09T00:00:00"/>
    <d v="2019-06-16T00:00:00"/>
    <x v="0"/>
    <x v="1"/>
    <s v="NF5098"/>
    <n v="191"/>
    <x v="10"/>
    <n v="2019"/>
    <x v="10"/>
    <x v="2"/>
    <x v="10"/>
    <x v="2"/>
    <x v="0"/>
    <s v="Prazo"/>
    <n v="17"/>
  </r>
  <r>
    <d v="2019-10-05T00:00:00"/>
    <d v="2019-06-13T00:00:00"/>
    <d v="2019-07-22T00:00:00"/>
    <x v="0"/>
    <x v="3"/>
    <s v="NF8169"/>
    <n v="508"/>
    <x v="1"/>
    <n v="2019"/>
    <x v="10"/>
    <x v="2"/>
    <x v="11"/>
    <x v="2"/>
    <x v="0"/>
    <s v="Prazo"/>
    <n v="75"/>
  </r>
  <r>
    <s v=""/>
    <d v="2019-06-15T00:00:00"/>
    <d v="2019-06-15T00:00:00"/>
    <x v="0"/>
    <x v="4"/>
    <s v="NF4469"/>
    <n v="1482"/>
    <x v="4"/>
    <n v="0"/>
    <x v="10"/>
    <x v="2"/>
    <x v="10"/>
    <x v="2"/>
    <x v="1"/>
    <s v="Vista"/>
    <n v="1722"/>
  </r>
  <r>
    <d v="2019-07-01T00:00:00"/>
    <d v="2019-06-16T00:00:00"/>
    <d v="2019-07-01T00:00:00"/>
    <x v="0"/>
    <x v="2"/>
    <s v="NF6729"/>
    <n v="555"/>
    <x v="10"/>
    <n v="2019"/>
    <x v="10"/>
    <x v="2"/>
    <x v="11"/>
    <x v="2"/>
    <x v="0"/>
    <s v="Prazo"/>
    <n v="0"/>
  </r>
  <r>
    <d v="2019-08-10T00:00:00"/>
    <d v="2019-06-20T00:00:00"/>
    <d v="2019-08-10T00:00:00"/>
    <x v="0"/>
    <x v="3"/>
    <s v="NF3586"/>
    <n v="1906"/>
    <x v="12"/>
    <n v="2019"/>
    <x v="10"/>
    <x v="2"/>
    <x v="0"/>
    <x v="2"/>
    <x v="0"/>
    <s v="Prazo"/>
    <n v="0"/>
  </r>
  <r>
    <d v="2019-08-25T00:00:00"/>
    <d v="2019-06-25T00:00:00"/>
    <d v="2019-06-29T00:00:00"/>
    <x v="0"/>
    <x v="3"/>
    <s v="NF9837"/>
    <n v="450"/>
    <x v="12"/>
    <n v="2019"/>
    <x v="10"/>
    <x v="2"/>
    <x v="10"/>
    <x v="2"/>
    <x v="0"/>
    <s v="Prazo"/>
    <n v="57"/>
  </r>
  <r>
    <d v="2019-09-02T00:00:00"/>
    <d v="2019-06-28T00:00:00"/>
    <d v="2019-07-16T00:00:00"/>
    <x v="0"/>
    <x v="1"/>
    <s v="NF6344"/>
    <n v="1479"/>
    <x v="0"/>
    <n v="2019"/>
    <x v="10"/>
    <x v="2"/>
    <x v="11"/>
    <x v="2"/>
    <x v="0"/>
    <s v="Prazo"/>
    <n v="48"/>
  </r>
  <r>
    <d v="2019-07-01T00:00:00"/>
    <d v="2019-06-29T00:00:00"/>
    <d v="2019-07-01T00:00:00"/>
    <x v="0"/>
    <x v="1"/>
    <s v="NF3701"/>
    <n v="3446"/>
    <x v="10"/>
    <n v="2019"/>
    <x v="10"/>
    <x v="2"/>
    <x v="11"/>
    <x v="2"/>
    <x v="0"/>
    <s v="Prazo"/>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2CCCF8-31EA-412E-A736-0042E0717465}" name="TdDetalhaReceita"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6:O14" firstHeaderRow="1" firstDataRow="2" firstDataCol="1" rowPageCount="1" colPageCount="1"/>
  <pivotFields count="16">
    <pivotField showAll="0"/>
    <pivotField numFmtId="14" showAll="0"/>
    <pivotField numFmtId="14" showAll="0"/>
    <pivotField axis="axisRow" showAll="0">
      <items count="2">
        <item x="0"/>
        <item t="default"/>
      </items>
    </pivotField>
    <pivotField axis="axisRow" showAll="0">
      <items count="6">
        <item x="3"/>
        <item x="0"/>
        <item x="4"/>
        <item x="1"/>
        <item x="2"/>
        <item t="default"/>
      </items>
    </pivotField>
    <pivotField showAll="0"/>
    <pivotField dataField="1" numFmtId="44" showAll="0"/>
    <pivotField showAll="0"/>
    <pivotField showAll="0"/>
    <pivotField axis="axisCol" showAll="0">
      <items count="13">
        <item x="5"/>
        <item x="6"/>
        <item x="7"/>
        <item x="8"/>
        <item x="9"/>
        <item x="10"/>
        <item x="11"/>
        <item x="0"/>
        <item x="1"/>
        <item x="2"/>
        <item x="3"/>
        <item x="4"/>
        <item t="default"/>
      </items>
    </pivotField>
    <pivotField axis="axisPage" showAll="0">
      <items count="4">
        <item x="0"/>
        <item x="1"/>
        <item x="2"/>
        <item t="default"/>
      </items>
    </pivotField>
    <pivotField showAll="0"/>
    <pivotField showAll="0"/>
    <pivotField showAll="0"/>
    <pivotField showAll="0"/>
    <pivotField showAll="0"/>
  </pivotFields>
  <rowFields count="2">
    <field x="3"/>
    <field x="4"/>
  </rowFields>
  <rowItems count="7">
    <i>
      <x/>
    </i>
    <i r="1">
      <x/>
    </i>
    <i r="1">
      <x v="1"/>
    </i>
    <i r="1">
      <x v="2"/>
    </i>
    <i r="1">
      <x v="3"/>
    </i>
    <i r="1">
      <x v="4"/>
    </i>
    <i t="grand">
      <x/>
    </i>
  </rowItems>
  <colFields count="1">
    <field x="9"/>
  </colFields>
  <colItems count="13">
    <i>
      <x/>
    </i>
    <i>
      <x v="1"/>
    </i>
    <i>
      <x v="2"/>
    </i>
    <i>
      <x v="3"/>
    </i>
    <i>
      <x v="4"/>
    </i>
    <i>
      <x v="5"/>
    </i>
    <i>
      <x v="6"/>
    </i>
    <i>
      <x v="7"/>
    </i>
    <i>
      <x v="8"/>
    </i>
    <i>
      <x v="9"/>
    </i>
    <i>
      <x v="10"/>
    </i>
    <i>
      <x v="11"/>
    </i>
    <i t="grand">
      <x/>
    </i>
  </colItems>
  <pageFields count="1">
    <pageField fld="10" hier="-1"/>
  </pageFields>
  <dataFields count="1">
    <dataField name="Sum of Valor" fld="6" baseField="4" baseItem="1"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84BA0-C0A6-4C27-9EB3-7A4C139674F8}" name="TdDetalhaDespesa"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6:O14" firstHeaderRow="1" firstDataRow="2" firstDataCol="1" rowPageCount="1" colPageCount="1"/>
  <pivotFields count="14">
    <pivotField showAll="0"/>
    <pivotField numFmtId="14" showAll="0"/>
    <pivotField numFmtId="14" showAll="0"/>
    <pivotField axis="axisRow" showAll="0">
      <items count="2">
        <item x="0"/>
        <item t="default"/>
      </items>
    </pivotField>
    <pivotField axis="axisRow" showAll="0">
      <items count="6">
        <item x="4"/>
        <item x="2"/>
        <item x="3"/>
        <item x="0"/>
        <item x="1"/>
        <item t="default"/>
      </items>
    </pivotField>
    <pivotField showAll="0"/>
    <pivotField dataField="1" numFmtId="44" showAll="0"/>
    <pivotField showAll="0"/>
    <pivotField showAll="0"/>
    <pivotField axis="axisCol" showAll="0">
      <items count="13">
        <item x="5"/>
        <item x="6"/>
        <item x="7"/>
        <item x="8"/>
        <item x="9"/>
        <item x="10"/>
        <item x="11"/>
        <item x="0"/>
        <item x="1"/>
        <item x="2"/>
        <item x="3"/>
        <item x="4"/>
        <item t="default"/>
      </items>
    </pivotField>
    <pivotField axis="axisPage" showAll="0">
      <items count="4">
        <item x="0"/>
        <item x="1"/>
        <item x="2"/>
        <item t="default"/>
      </items>
    </pivotField>
    <pivotField showAll="0"/>
    <pivotField showAll="0"/>
    <pivotField numFmtId="1" showAll="0"/>
  </pivotFields>
  <rowFields count="2">
    <field x="3"/>
    <field x="4"/>
  </rowFields>
  <rowItems count="7">
    <i>
      <x/>
    </i>
    <i r="1">
      <x/>
    </i>
    <i r="1">
      <x v="1"/>
    </i>
    <i r="1">
      <x v="2"/>
    </i>
    <i r="1">
      <x v="3"/>
    </i>
    <i r="1">
      <x v="4"/>
    </i>
    <i t="grand">
      <x/>
    </i>
  </rowItems>
  <colFields count="1">
    <field x="9"/>
  </colFields>
  <colItems count="13">
    <i>
      <x/>
    </i>
    <i>
      <x v="1"/>
    </i>
    <i>
      <x v="2"/>
    </i>
    <i>
      <x v="3"/>
    </i>
    <i>
      <x v="4"/>
    </i>
    <i>
      <x v="5"/>
    </i>
    <i>
      <x v="6"/>
    </i>
    <i>
      <x v="7"/>
    </i>
    <i>
      <x v="8"/>
    </i>
    <i>
      <x v="9"/>
    </i>
    <i>
      <x v="10"/>
    </i>
    <i>
      <x v="11"/>
    </i>
    <i t="grand">
      <x/>
    </i>
  </colItems>
  <pageFields count="1">
    <pageField fld="10" hier="-1"/>
  </pageFields>
  <dataFields count="1">
    <dataField name="Sum of Valor" fld="6" baseField="4" baseItem="1"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930A22-C06D-4084-8356-9D8B9050A390}" name="TdContasPagar" cacheId="11"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B6:M15" firstHeaderRow="1" firstDataRow="3" firstDataCol="1" rowPageCount="1" colPageCount="1"/>
  <pivotFields count="14">
    <pivotField showAll="0"/>
    <pivotField numFmtId="14" showAll="0"/>
    <pivotField numFmtId="14" showAll="0"/>
    <pivotField axis="axisRow" showAll="0">
      <items count="2">
        <item x="0"/>
        <item t="default"/>
      </items>
    </pivotField>
    <pivotField axis="axisRow" showAll="0">
      <items count="6">
        <item x="4"/>
        <item x="2"/>
        <item x="3"/>
        <item x="0"/>
        <item x="1"/>
        <item t="default"/>
      </items>
    </pivotField>
    <pivotField showAll="0"/>
    <pivotField dataField="1" numFmtId="44" showAll="0"/>
    <pivotField axis="axisCol" showAll="0">
      <items count="14">
        <item x="2"/>
        <item h="1" x="5"/>
        <item h="1" x="6"/>
        <item h="1" x="7"/>
        <item h="1" x="8"/>
        <item h="1" x="10"/>
        <item h="1" x="9"/>
        <item h="1" x="11"/>
        <item h="1" x="12"/>
        <item h="1" x="1"/>
        <item h="1" x="0"/>
        <item h="1" x="3"/>
        <item h="1" x="4"/>
        <item t="default"/>
      </items>
    </pivotField>
    <pivotField showAll="0"/>
    <pivotField showAll="0"/>
    <pivotField showAll="0"/>
    <pivotField axis="axisCol" showAll="0">
      <items count="13">
        <item x="4"/>
        <item x="5"/>
        <item x="6"/>
        <item x="7"/>
        <item x="8"/>
        <item x="9"/>
        <item x="10"/>
        <item x="11"/>
        <item x="1"/>
        <item x="0"/>
        <item x="2"/>
        <item x="3"/>
        <item t="default"/>
      </items>
    </pivotField>
    <pivotField axis="axisPage" showAll="0">
      <items count="4">
        <item x="0"/>
        <item x="1"/>
        <item x="2"/>
        <item t="default"/>
      </items>
    </pivotField>
    <pivotField numFmtId="1" showAll="0"/>
  </pivotFields>
  <rowFields count="2">
    <field x="3"/>
    <field x="4"/>
  </rowFields>
  <rowItems count="7">
    <i>
      <x/>
    </i>
    <i r="1">
      <x/>
    </i>
    <i r="1">
      <x v="1"/>
    </i>
    <i r="1">
      <x v="2"/>
    </i>
    <i r="1">
      <x v="3"/>
    </i>
    <i r="1">
      <x v="4"/>
    </i>
    <i t="grand">
      <x/>
    </i>
  </rowItems>
  <colFields count="2">
    <field x="7"/>
    <field x="11"/>
  </colFields>
  <colItems count="11">
    <i>
      <x/>
      <x/>
    </i>
    <i r="1">
      <x v="1"/>
    </i>
    <i r="1">
      <x v="3"/>
    </i>
    <i r="1">
      <x v="4"/>
    </i>
    <i r="1">
      <x v="5"/>
    </i>
    <i r="1">
      <x v="6"/>
    </i>
    <i r="1">
      <x v="7"/>
    </i>
    <i r="1">
      <x v="8"/>
    </i>
    <i r="1">
      <x v="9"/>
    </i>
    <i r="1">
      <x v="10"/>
    </i>
    <i t="default">
      <x/>
    </i>
  </colItems>
  <pageFields count="1">
    <pageField fld="12" hier="-1"/>
  </pageFields>
  <dataFields count="1">
    <dataField name="Sum of Valor" fld="6" baseField="4" baseItem="3"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4986FD-D411-4121-BA03-C4098F385431}" name="TdContasReceber" cacheId="22"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B6:N15" firstHeaderRow="1" firstDataRow="3" firstDataCol="1" rowPageCount="1" colPageCount="1"/>
  <pivotFields count="16">
    <pivotField showAll="0"/>
    <pivotField numFmtId="14" showAll="0"/>
    <pivotField numFmtId="14" showAll="0"/>
    <pivotField axis="axisRow" showAll="0">
      <items count="2">
        <item x="0"/>
        <item t="default"/>
      </items>
    </pivotField>
    <pivotField axis="axisRow" showAll="0">
      <items count="6">
        <item x="3"/>
        <item x="0"/>
        <item x="4"/>
        <item x="1"/>
        <item x="2"/>
        <item t="default"/>
      </items>
    </pivotField>
    <pivotField showAll="0"/>
    <pivotField dataField="1" numFmtId="44" showAll="0"/>
    <pivotField axis="axisCol" showAll="0">
      <items count="14">
        <item x="4"/>
        <item h="1" x="5"/>
        <item h="1" x="6"/>
        <item h="1" x="7"/>
        <item h="1" x="8"/>
        <item h="1" x="9"/>
        <item h="1" x="11"/>
        <item h="1" x="10"/>
        <item h="1" x="12"/>
        <item h="1" x="0"/>
        <item h="1" x="1"/>
        <item h="1" x="2"/>
        <item h="1" x="3"/>
        <item t="default"/>
      </items>
    </pivotField>
    <pivotField showAll="0"/>
    <pivotField showAll="0"/>
    <pivotField showAll="0"/>
    <pivotField axis="axisCol" showAll="0">
      <items count="13">
        <item x="4"/>
        <item x="6"/>
        <item x="7"/>
        <item x="8"/>
        <item x="9"/>
        <item x="10"/>
        <item x="11"/>
        <item x="0"/>
        <item x="1"/>
        <item x="2"/>
        <item x="3"/>
        <item x="5"/>
        <item t="default"/>
      </items>
    </pivotField>
    <pivotField axis="axisPage" showAll="0">
      <items count="4">
        <item x="0"/>
        <item x="1"/>
        <item x="2"/>
        <item t="default"/>
      </items>
    </pivotField>
    <pivotField showAll="0"/>
    <pivotField showAll="0"/>
    <pivotField showAll="0"/>
  </pivotFields>
  <rowFields count="2">
    <field x="3"/>
    <field x="4"/>
  </rowFields>
  <rowItems count="7">
    <i>
      <x/>
    </i>
    <i r="1">
      <x/>
    </i>
    <i r="1">
      <x v="1"/>
    </i>
    <i r="1">
      <x v="2"/>
    </i>
    <i r="1">
      <x v="3"/>
    </i>
    <i r="1">
      <x v="4"/>
    </i>
    <i t="grand">
      <x/>
    </i>
  </rowItems>
  <colFields count="2">
    <field x="7"/>
    <field x="11"/>
  </colFields>
  <colItems count="12">
    <i>
      <x/>
      <x/>
    </i>
    <i r="1">
      <x v="1"/>
    </i>
    <i r="1">
      <x v="2"/>
    </i>
    <i r="1">
      <x v="3"/>
    </i>
    <i r="1">
      <x v="4"/>
    </i>
    <i r="1">
      <x v="5"/>
    </i>
    <i r="1">
      <x v="6"/>
    </i>
    <i r="1">
      <x v="8"/>
    </i>
    <i r="1">
      <x v="9"/>
    </i>
    <i r="1">
      <x v="10"/>
    </i>
    <i r="1">
      <x v="11"/>
    </i>
    <i t="default">
      <x/>
    </i>
  </colItems>
  <pageFields count="1">
    <pageField fld="12" hier="-1"/>
  </pageFields>
  <dataFields count="1">
    <dataField name="Sum of Valor" fld="6" baseField="4" baseItem="3"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52FF4D-A10A-4E59-9966-F6FE7DCFA990}" name="tdContasReceberVencidas" cacheId="22"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B6:N15" firstHeaderRow="1" firstDataRow="3" firstDataCol="1" rowPageCount="1" colPageCount="1"/>
  <pivotFields count="16">
    <pivotField showAll="0"/>
    <pivotField numFmtId="14" showAll="0"/>
    <pivotField numFmtId="14" showAll="0"/>
    <pivotField axis="axisRow" showAll="0">
      <items count="2">
        <item x="0"/>
        <item t="default"/>
      </items>
    </pivotField>
    <pivotField axis="axisRow" showAll="0">
      <items count="6">
        <item x="3"/>
        <item x="0"/>
        <item x="4"/>
        <item x="1"/>
        <item x="2"/>
        <item t="default"/>
      </items>
    </pivotField>
    <pivotField showAll="0"/>
    <pivotField dataField="1" numFmtId="44" showAll="0"/>
    <pivotField showAll="0"/>
    <pivotField showAll="0"/>
    <pivotField showAll="0"/>
    <pivotField showAll="0"/>
    <pivotField axis="axisCol" showAll="0">
      <items count="13">
        <item x="4"/>
        <item x="6"/>
        <item x="7"/>
        <item x="8"/>
        <item x="9"/>
        <item x="10"/>
        <item x="11"/>
        <item x="0"/>
        <item x="1"/>
        <item x="2"/>
        <item x="3"/>
        <item x="5"/>
        <item t="default"/>
      </items>
    </pivotField>
    <pivotField axis="axisPage" showAll="0">
      <items count="4">
        <item x="0"/>
        <item x="1"/>
        <item x="2"/>
        <item t="default"/>
      </items>
    </pivotField>
    <pivotField axis="axisCol" showAll="0">
      <items count="3">
        <item h="1" x="0"/>
        <item x="1"/>
        <item t="default"/>
      </items>
    </pivotField>
    <pivotField showAll="0"/>
    <pivotField showAll="0"/>
  </pivotFields>
  <rowFields count="2">
    <field x="3"/>
    <field x="4"/>
  </rowFields>
  <rowItems count="7">
    <i>
      <x/>
    </i>
    <i r="1">
      <x/>
    </i>
    <i r="1">
      <x v="1"/>
    </i>
    <i r="1">
      <x v="2"/>
    </i>
    <i r="1">
      <x v="3"/>
    </i>
    <i r="1">
      <x v="4"/>
    </i>
    <i t="grand">
      <x/>
    </i>
  </rowItems>
  <colFields count="2">
    <field x="13"/>
    <field x="11"/>
  </colFields>
  <colItems count="12">
    <i>
      <x v="1"/>
      <x/>
    </i>
    <i r="1">
      <x v="1"/>
    </i>
    <i r="1">
      <x v="2"/>
    </i>
    <i r="1">
      <x v="3"/>
    </i>
    <i r="1">
      <x v="4"/>
    </i>
    <i r="1">
      <x v="5"/>
    </i>
    <i r="1">
      <x v="6"/>
    </i>
    <i r="1">
      <x v="8"/>
    </i>
    <i r="1">
      <x v="9"/>
    </i>
    <i r="1">
      <x v="10"/>
    </i>
    <i r="1">
      <x v="11"/>
    </i>
    <i t="default">
      <x v="1"/>
    </i>
  </colItems>
  <pageFields count="1">
    <pageField fld="12" hier="-1"/>
  </pageFields>
  <dataFields count="1">
    <dataField name="Sum of Valor" fld="6" baseField="4" baseItem="3"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ês_Competência" xr10:uid="{20496B31-CA4A-4962-A60E-8EAC9F1E8CA9}" sourceName="Mês Competência">
  <pivotTables>
    <pivotTable tabId="10" name="TdDetalhaReceita"/>
  </pivotTables>
  <data>
    <tabular pivotCacheId="198895087">
      <items count="12">
        <i x="5" s="1"/>
        <i x="6" s="1"/>
        <i x="7" s="1"/>
        <i x="8" s="1"/>
        <i x="9" s="1"/>
        <i x="10" s="1"/>
        <i x="11"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_Competência" xr10:uid="{9E7AB9CF-BEFB-4917-9A85-3037692995B2}" sourceName="Ano Competência">
  <pivotTables>
    <pivotTable tabId="10" name="TdDetalhaReceita"/>
  </pivotTables>
  <data>
    <tabular pivotCacheId="19889508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ês_Competência1" xr10:uid="{31DCE94E-2A85-4FBD-B799-23A67865485F}" sourceName="Mês Competência">
  <pivotTables>
    <pivotTable tabId="11" name="TdDetalhaDespesa"/>
  </pivotTables>
  <data>
    <tabular pivotCacheId="1695129625">
      <items count="12">
        <i x="5" s="1"/>
        <i x="6" s="1"/>
        <i x="7" s="1"/>
        <i x="8" s="1"/>
        <i x="9" s="1"/>
        <i x="10" s="1"/>
        <i x="11"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_Competência1" xr10:uid="{5EBDFF0E-7E0F-4447-9A23-B7501FB8D13E}" sourceName="Ano Competência">
  <pivotTables>
    <pivotTable tabId="11" name="TdDetalhaDespesa"/>
  </pivotTables>
  <data>
    <tabular pivotCacheId="1695129625">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ês_Previsto" xr10:uid="{A83AA4C2-C873-4163-B833-36F20D96909D}" sourceName="Mês Previsto">
  <pivotTables>
    <pivotTable tabId="12" name="TdContasPagar"/>
  </pivotTables>
  <data>
    <tabular pivotCacheId="1695129625">
      <items count="12">
        <i x="4" s="1"/>
        <i x="5" s="1"/>
        <i x="7" s="1"/>
        <i x="8" s="1"/>
        <i x="9" s="1"/>
        <i x="10" s="1"/>
        <i x="11" s="1"/>
        <i x="1" s="1"/>
        <i x="0" s="1"/>
        <i x="2" s="1"/>
        <i x="6" s="1" nd="1"/>
        <i x="3"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_Previsto" xr10:uid="{3C628030-DC0F-4431-8BD2-32B01F4AB63B}" sourceName="Ano Previsto">
  <pivotTables>
    <pivotTable tabId="12" name="TdContasPagar"/>
  </pivotTables>
  <data>
    <tabular pivotCacheId="1695129625">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ês_Previsto1" xr10:uid="{9698D2EC-E7A0-4BD5-BE2B-074BEB8E6A6D}" sourceName="Mês Previsto">
  <pivotTables>
    <pivotTable tabId="13" name="TdContasReceber"/>
  </pivotTables>
  <data>
    <tabular pivotCacheId="198895087">
      <items count="12">
        <i x="4" s="1"/>
        <i x="6" s="1"/>
        <i x="7" s="1"/>
        <i x="8" s="1"/>
        <i x="9" s="1"/>
        <i x="10" s="1"/>
        <i x="11" s="1"/>
        <i x="1" s="1"/>
        <i x="2" s="1"/>
        <i x="3" s="1"/>
        <i x="5" s="1"/>
        <i x="0"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_Previsto1" xr10:uid="{CFE1D2EA-5684-4071-A9C8-FB24FC70A5ED}" sourceName="Ano Previsto">
  <pivotTables>
    <pivotTable tabId="13" name="TdContasReceber"/>
  </pivotTables>
  <data>
    <tabular pivotCacheId="198895087">
      <items count="3">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_Previsto2" xr10:uid="{A4A69FE2-DC36-4C36-AAAD-605C66FCA645}" sourceName="Ano Previsto">
  <pivotTables>
    <pivotTable tabId="14" name="tdContasReceberVencidas"/>
  </pivotTables>
  <data>
    <tabular pivotCacheId="19889508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ês Competência" xr10:uid="{0A9CA974-095B-49DC-8031-89E391B0B399}" cache="Slicer_Mês_Competência" caption="Mês Competência" columnCount="6" rowHeight="257175"/>
  <slicer name="Ano Competência" xr10:uid="{3415B968-AC28-456A-8D16-DF6335FFC54D}" cache="Slicer_Ano_Competência" caption="Ano Competência"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ês Competência 1" xr10:uid="{D0B97C1F-1F85-4133-9313-52401255FBC4}" cache="Slicer_Mês_Competência1" caption="Mês Competência" columnCount="6" rowHeight="257175"/>
  <slicer name="Ano Competência 1" xr10:uid="{C7CA36CD-3D53-4189-B4FF-AA79074C56A7}" cache="Slicer_Ano_Competência1" caption="Ano Competência" columnCount="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ês Previsto" xr10:uid="{F9893434-A20D-45C1-A31F-2D441E6BDD98}" cache="Slicer_Mês_Previsto" caption="Mês Previsto" columnCount="6" rowHeight="257175"/>
  <slicer name="Ano Previsto" xr10:uid="{45452169-127D-47D1-8207-5999613A3EA6}" cache="Slicer_Ano_Previsto" caption="Ano Previsto" columnCount="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ês Previsto 1" xr10:uid="{51DAEEC0-4D16-4A45-814D-FE813F4DAA75}" cache="Slicer_Mês_Previsto1" caption="Mês Previsto" columnCount="6" rowHeight="257175"/>
  <slicer name="Ano Previsto 1" xr10:uid="{4851A576-0BE4-4644-8327-AF4242ED0AEB}" cache="Slicer_Ano_Previsto1" caption="Ano Previsto" columnCount="2"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o Previsto 2" xr10:uid="{7E2E0B2D-745B-4120-B4DF-45F98DE72CF3}" cache="Slicer_Ano_Previsto2" caption="Ano Previsto" columnCoun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2BF63A-F6EF-4804-9E2C-58C26059C8F1}" name="TbPCEntradasN1" displayName="TbPCEntradasN1" ref="B4:B9" totalsRowShown="0" headerRowDxfId="39" dataDxfId="38">
  <autoFilter ref="B4:B9" xr:uid="{B12BF63A-F6EF-4804-9E2C-58C26059C8F1}"/>
  <tableColumns count="1">
    <tableColumn id="1" xr3:uid="{5018563A-7728-41D4-B21D-219958E1C5F0}" name="Nível 1" dataDxfId="37"/>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F1D26A-0037-45AA-BE0B-9C78DD33DF1D}" name="TbPCEntradasN2" displayName="TbPCEntradasN2" ref="B4:C13" totalsRowShown="0" headerRowDxfId="36">
  <autoFilter ref="B4:C13" xr:uid="{E6F1D26A-0037-45AA-BE0B-9C78DD33DF1D}"/>
  <tableColumns count="2">
    <tableColumn id="1" xr3:uid="{2896463E-5773-45E6-9E03-1D7F6F27ECE2}" name="Nível 1"/>
    <tableColumn id="2" xr3:uid="{B403A0E3-CD63-4227-BD9F-5721AE4B5D1D}" name="Nível 2"/>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A50935-6C38-4FCB-9425-331F8DA7F817}" name="TbPCSaídasN1" displayName="TbPCSaídasN1" ref="B4:B10" totalsRowShown="0" headerRowDxfId="35">
  <autoFilter ref="B4:B10" xr:uid="{33A50935-6C38-4FCB-9425-331F8DA7F817}"/>
  <tableColumns count="1">
    <tableColumn id="1" xr3:uid="{11C11313-1EE5-4FE3-84FC-F20AC8F8C535}" name="Nível 1"/>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6F15BA-F75F-40FD-A7E3-3F4EC980B02F}" name="TbPCSaídasN2" displayName="TbPCSaídasN2" ref="B4:C16" totalsRowShown="0" headerRowDxfId="34" tableBorderDxfId="33">
  <autoFilter ref="B4:C16" xr:uid="{406F15BA-F75F-40FD-A7E3-3F4EC980B02F}"/>
  <tableColumns count="2">
    <tableColumn id="1" xr3:uid="{7AE69D99-1D9D-4F49-B721-187A6731AF38}" name="Nível 1"/>
    <tableColumn id="2" xr3:uid="{6B9E5463-9788-421B-BF81-6B67FA78233B}" name="Nível 2"/>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4E09BB-F45D-48FE-B129-C83776E07837}" name="TbRegistroEntradas" displayName="TbRegistroEntradas" ref="B3:Q234" totalsRowShown="0" headerRowDxfId="32">
  <autoFilter ref="B3:Q234" xr:uid="{6F4E09BB-F45D-48FE-B129-C83776E07837}"/>
  <tableColumns count="16">
    <tableColumn id="1" xr3:uid="{C80B4146-2E7F-4263-83C7-F349FB506F65}" name="Data do Caixa Realizado" dataDxfId="31"/>
    <tableColumn id="2" xr3:uid="{6636918D-B1B5-45E6-8136-EB5AF589793A}" name="Data da Competência" dataDxfId="30"/>
    <tableColumn id="3" xr3:uid="{D2841680-9C29-488A-ACD3-B46337AA1E11}" name="Data do Caixa Previsto" dataDxfId="29"/>
    <tableColumn id="4" xr3:uid="{75824BCB-B993-4CBE-A848-C161B308CC0A}" name="Conta Nível 1"/>
    <tableColumn id="5" xr3:uid="{BDC540AB-47C5-4B64-BC03-24E12DB54E35}" name="Conta Nível 2"/>
    <tableColumn id="6" xr3:uid="{8F5DD61D-6E07-4666-AD20-F7A4ED194603}" name="Histórico"/>
    <tableColumn id="7" xr3:uid="{D6E1DFDC-103F-457B-AA05-59FFF4B412E2}" name="Valor" dataDxfId="28"/>
    <tableColumn id="8" xr3:uid="{21F4FE23-8E36-4701-B38C-FCAECFA548EC}" name="Mês Caixa" dataDxfId="27">
      <calculatedColumnFormula>IF(TbRegistroEntradas[[#This Row],[Data do Caixa Realizado]]="",0,MONTH(TbRegistroEntradas[[#This Row],[Data do Caixa Realizado]]))</calculatedColumnFormula>
    </tableColumn>
    <tableColumn id="9" xr3:uid="{07DB837E-C195-49F6-B1B2-D739A82718FA}" name="Ano Caixa" dataDxfId="26">
      <calculatedColumnFormula>IF(TbRegistroEntradas[[#This Row],[Data do Caixa Realizado]]="",0,YEAR(TbRegistroEntradas[[#This Row],[Data do Caixa Realizado]]))</calculatedColumnFormula>
    </tableColumn>
    <tableColumn id="10" xr3:uid="{E9E18914-1761-48CC-8AF2-4E3A920DF4A5}" name="Mês Competência" dataDxfId="25">
      <calculatedColumnFormula>IF(TbRegistroEntradas[[#This Row],[Data da Competência]]="",0,MONTH(TbRegistroEntradas[[#This Row],[Data da Competência]]))</calculatedColumnFormula>
    </tableColumn>
    <tableColumn id="11" xr3:uid="{AAEC8324-11EB-4D49-9665-7952FCDC4A3C}" name="Ano Competência" dataDxfId="24">
      <calculatedColumnFormula>IF(TbRegistroEntradas[[#This Row],[Data da Competência]]="",0,YEAR(TbRegistroEntradas[[#This Row],[Data da Competência]]))</calculatedColumnFormula>
    </tableColumn>
    <tableColumn id="12" xr3:uid="{B348E85C-DE50-4BDE-B523-2FBB0C7F6EBA}" name="Mês Previsto" dataDxfId="23">
      <calculatedColumnFormula>IF(TbRegistroEntradas[[#This Row],[Data do Caixa Previsto]]="",0,MONTH(TbRegistroEntradas[[#This Row],[Data do Caixa Previsto]]))</calculatedColumnFormula>
    </tableColumn>
    <tableColumn id="13" xr3:uid="{73F52F90-8E92-48D1-8E97-7F8560E5DAC7}" name="Ano Previsto" dataDxfId="22">
      <calculatedColumnFormula>IF(TbRegistroEntradas[[#This Row],[Data do Caixa Previsto]]="",0,YEAR(TbRegistroEntradas[[#This Row],[Data do Caixa Previsto]]))</calculatedColumnFormula>
    </tableColumn>
    <tableColumn id="14" xr3:uid="{DF2DD37E-6D23-49DD-B29C-A442DFB3038B}" name="Conta Vencida" dataDxfId="21">
      <calculatedColumnFormula>IF(AND(TbRegistroEntradas[[#This Row],[Data do Caixa Previsto]]&lt;TODAY(),TbRegistroEntradas[[#This Row],[Data do Caixa Realizado]]=""),"Vencida","Não Vencida")</calculatedColumnFormula>
    </tableColumn>
    <tableColumn id="15" xr3:uid="{D0B3D73A-6EA1-4331-94D0-3E12051AEBCA}" name="Venda à Vista" dataDxfId="20">
      <calculatedColumnFormula>IF(TbRegistroEntradas[[#This Row],[Data da Competência]]=TbRegistroEntradas[[#This Row],[Data do Caixa Previsto]],"Vista","Prazo")</calculatedColumnFormula>
    </tableColumn>
    <tableColumn id="16" xr3:uid="{76153CD0-C87D-462B-B108-98ABD2ED4916}" name="Dias de Atraso" dataDxfId="19">
      <calculatedColumnFormula>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calculatedColumnFormula>
    </tableColumn>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22BC1B-3AFE-40E0-AC7B-D2B2E2C15C59}" name="TbRegistroSaídas" displayName="TbRegistroSaídas" ref="B3:O232" headerRowDxfId="18" headerRowBorderDxfId="17" tableBorderDxfId="16">
  <autoFilter ref="B3:O232" xr:uid="{4422BC1B-3AFE-40E0-AC7B-D2B2E2C15C59}"/>
  <tableColumns count="14">
    <tableColumn id="1" xr3:uid="{97A9EDF0-022A-4E77-9B3C-2D63B7F7D43A}" name="Data do Caixa Realizado" totalsRowLabel="Total" dataDxfId="15"/>
    <tableColumn id="2" xr3:uid="{6782A32A-D27A-47D9-B45B-CE3676B95D86}" name="Data da Competência" dataDxfId="14"/>
    <tableColumn id="3" xr3:uid="{7BCDC618-2592-4A8C-8892-E1E004942E40}" name="Data do Caixa Previsto" dataDxfId="13"/>
    <tableColumn id="4" xr3:uid="{54911A5D-3D8D-4DC5-A0B8-3E294AE817FB}" name="Conta Nível 1"/>
    <tableColumn id="5" xr3:uid="{B35C96DA-0BFC-4FAE-A34C-184BAF72FCD4}" name="Conta Nível 2"/>
    <tableColumn id="6" xr3:uid="{62893233-1834-4F68-A1E8-875A1A5A6FF7}" name="Histórico"/>
    <tableColumn id="7" xr3:uid="{F68EA508-949D-437A-8F1D-4F583BAFADE7}" name="Valor" totalsRowFunction="sum" dataDxfId="12" totalsRowDxfId="11"/>
    <tableColumn id="8" xr3:uid="{FD677944-16B6-4ECF-80EA-83974FD39B7B}" name="Mês Caixa" dataDxfId="10">
      <calculatedColumnFormula>IF([1]!TbRegistroSaídas[[#This Row],[Data do Caixa Realizado]]="",0,MONTH([1]!TbRegistroSaídas[[#This Row],[Data do Caixa Realizado]]))</calculatedColumnFormula>
    </tableColumn>
    <tableColumn id="9" xr3:uid="{5BA7C5CB-A443-45BA-9175-205500789B95}" name="Ano Caixa" dataDxfId="9">
      <calculatedColumnFormula>IF([1]!TbRegistroSaídas[[#This Row],[Data do Caixa Realizado]]="",0,YEAR([1]!TbRegistroSaídas[[#This Row],[Data do Caixa Realizado]]))</calculatedColumnFormula>
    </tableColumn>
    <tableColumn id="10" xr3:uid="{F6F43451-5A44-40AD-9B0D-F83B8D6F6E26}" name="Mês Competência" dataDxfId="8">
      <calculatedColumnFormula>IF([1]!TbRegistroSaídas[[#This Row],[Data da Competência]]="",0,MONTH([1]!TbRegistroSaídas[[#This Row],[Data da Competência]]))</calculatedColumnFormula>
    </tableColumn>
    <tableColumn id="11" xr3:uid="{897628A6-8381-4E81-8580-0FE6D13C0B45}" name="Ano Competência" totalsRowFunction="sum" dataDxfId="7">
      <calculatedColumnFormula>IF([1]!TbRegistroSaídas[[#This Row],[Data da Competência]]="",0,YEAR([1]!TbRegistroSaídas[[#This Row],[Data da Competência]]))</calculatedColumnFormula>
    </tableColumn>
    <tableColumn id="12" xr3:uid="{C19FD992-6A4C-49B2-8EF4-9B3FDCF8DF37}" name="Mês Previsto" dataDxfId="6">
      <calculatedColumnFormula>IF([1]!TbRegistroSaídas[[#This Row],[Data do Caixa Previsto]]="",0,MONTH([1]!TbRegistroSaídas[[#This Row],[Data do Caixa Previsto]]))</calculatedColumnFormula>
    </tableColumn>
    <tableColumn id="13" xr3:uid="{A9632B4F-E50C-4839-A312-52E2584CF291}" name="Ano Previsto" dataDxfId="5">
      <calculatedColumnFormula>IF([1]!TbRegistroSaídas[[#This Row],[Data do Caixa Previsto]]="",0,YEAR([1]!TbRegistroSaídas[[#This Row],[Data do Caixa Previsto]]))</calculatedColumnFormula>
    </tableColumn>
    <tableColumn id="14" xr3:uid="{53258B9E-5C09-4028-A532-4F38B2239A3E}" name="Dias de Atraso" dataDxfId="4">
      <calculatedColumnFormula>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1.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2.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3.xml"/><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4.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996AE-5C4D-4CA2-B3AA-6F6CC44E513A}">
  <dimension ref="A1:O20"/>
  <sheetViews>
    <sheetView showGridLines="0" tabSelected="1" workbookViewId="0">
      <selection activeCell="B8" sqref="B8"/>
    </sheetView>
  </sheetViews>
  <sheetFormatPr defaultColWidth="0" defaultRowHeight="15" x14ac:dyDescent="0.25"/>
  <cols>
    <col min="1" max="1" width="2.7109375" customWidth="1"/>
    <col min="2" max="2" width="40.7109375" customWidth="1"/>
    <col min="3" max="14" width="11.7109375" customWidth="1"/>
    <col min="15" max="15" width="3.5703125" customWidth="1"/>
    <col min="16" max="16384" width="9.140625" hidden="1"/>
  </cols>
  <sheetData>
    <row r="1" spans="2:14" ht="39.950000000000003" customHeight="1" x14ac:dyDescent="0.25">
      <c r="B1" s="4" t="s">
        <v>0</v>
      </c>
      <c r="C1" s="1"/>
      <c r="D1" s="1"/>
      <c r="E1" s="1"/>
      <c r="F1" s="1"/>
      <c r="G1" s="1"/>
      <c r="H1" s="1"/>
      <c r="I1" s="1"/>
      <c r="J1" s="1"/>
      <c r="K1" s="1"/>
      <c r="L1" s="1"/>
      <c r="M1" s="1"/>
      <c r="N1" s="5" t="s">
        <v>1</v>
      </c>
    </row>
    <row r="2" spans="2:14" ht="20.100000000000001" customHeight="1" x14ac:dyDescent="0.25"/>
    <row r="3" spans="2:14" ht="20.100000000000001" customHeight="1" x14ac:dyDescent="0.25">
      <c r="B3" t="s">
        <v>2</v>
      </c>
    </row>
    <row r="4" spans="2:14" ht="20.100000000000001" customHeight="1" x14ac:dyDescent="0.25">
      <c r="B4" s="127" t="s">
        <v>3</v>
      </c>
    </row>
    <row r="5" spans="2:14" ht="20.100000000000001" customHeight="1" x14ac:dyDescent="0.25"/>
    <row r="6" spans="2:14" ht="20.100000000000001" customHeight="1" x14ac:dyDescent="0.25"/>
    <row r="7" spans="2:14" ht="20.100000000000001" customHeight="1" x14ac:dyDescent="0.25">
      <c r="B7" s="2" t="s">
        <v>4</v>
      </c>
    </row>
    <row r="8" spans="2:14" ht="20.100000000000001" customHeight="1" x14ac:dyDescent="0.25">
      <c r="B8" s="126" t="s">
        <v>5</v>
      </c>
    </row>
    <row r="9" spans="2:14" ht="20.100000000000001" customHeight="1" x14ac:dyDescent="0.25"/>
    <row r="10" spans="2:14" ht="20.100000000000001" customHeight="1" x14ac:dyDescent="0.25"/>
    <row r="11" spans="2:14" ht="20.100000000000001" customHeight="1" x14ac:dyDescent="0.25"/>
    <row r="12" spans="2:14" ht="20.100000000000001" customHeight="1" x14ac:dyDescent="0.25"/>
    <row r="13" spans="2:14" ht="20.100000000000001" customHeight="1" x14ac:dyDescent="0.25"/>
    <row r="14" spans="2:14" ht="20.100000000000001" customHeight="1" x14ac:dyDescent="0.25"/>
    <row r="15" spans="2:14" ht="20.100000000000001" customHeight="1" x14ac:dyDescent="0.25"/>
    <row r="16" spans="2:14" ht="20.100000000000001" customHeight="1" x14ac:dyDescent="0.25">
      <c r="D16" s="1"/>
      <c r="E16" s="1"/>
      <c r="F16" s="1"/>
      <c r="G16" s="1"/>
      <c r="H16" s="1"/>
      <c r="I16" s="1"/>
      <c r="J16" s="1"/>
      <c r="K16" s="1"/>
      <c r="L16" s="1"/>
      <c r="M16" s="1"/>
      <c r="N16" s="1"/>
    </row>
    <row r="17" ht="20.100000000000001" customHeight="1" x14ac:dyDescent="0.25"/>
    <row r="18" ht="20.100000000000001" customHeight="1" x14ac:dyDescent="0.25"/>
    <row r="19" ht="20.100000000000001" customHeight="1" x14ac:dyDescent="0.25"/>
    <row r="20" ht="20.100000000000001" customHeight="1" x14ac:dyDescent="0.25"/>
  </sheetData>
  <sheetProtection sheet="1" objects="1" scenarios="1" select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62F42-D371-401A-BE55-CF41EF6988F7}">
  <dimension ref="A1:O17"/>
  <sheetViews>
    <sheetView showGridLines="0" workbookViewId="0">
      <selection activeCell="B10" sqref="B10"/>
    </sheetView>
  </sheetViews>
  <sheetFormatPr defaultColWidth="0" defaultRowHeight="15" x14ac:dyDescent="0.25"/>
  <cols>
    <col min="1" max="1" width="2.7109375" customWidth="1"/>
    <col min="2" max="2" width="40.7109375" customWidth="1"/>
    <col min="3" max="14" width="11.7109375" customWidth="1"/>
    <col min="15" max="15" width="3.5703125" customWidth="1"/>
    <col min="16" max="16384" width="9.140625" hidden="1"/>
  </cols>
  <sheetData>
    <row r="1" spans="2:14" ht="39.950000000000003" customHeight="1" x14ac:dyDescent="0.25">
      <c r="B1" s="4" t="s">
        <v>0</v>
      </c>
      <c r="C1" s="1"/>
      <c r="D1" s="1"/>
      <c r="E1" s="1"/>
      <c r="F1" s="1"/>
      <c r="G1" s="1"/>
      <c r="H1" s="1"/>
      <c r="I1" s="1"/>
      <c r="J1" s="1"/>
      <c r="K1" s="1"/>
      <c r="L1" s="1"/>
      <c r="M1" s="1"/>
      <c r="N1" s="5" t="s">
        <v>6</v>
      </c>
    </row>
    <row r="2" spans="2:14" ht="39.950000000000003" customHeight="1" x14ac:dyDescent="0.25">
      <c r="B2" s="3"/>
      <c r="C2" s="3"/>
      <c r="D2" s="3"/>
      <c r="E2" s="3"/>
      <c r="F2" s="3"/>
      <c r="G2" s="3"/>
      <c r="H2" s="3"/>
      <c r="I2" s="3"/>
      <c r="J2" s="3"/>
      <c r="K2" s="3"/>
      <c r="L2" s="3"/>
      <c r="M2" s="3"/>
      <c r="N2" s="3"/>
    </row>
    <row r="3" spans="2:14" ht="20.100000000000001" customHeight="1" x14ac:dyDescent="0.25"/>
    <row r="4" spans="2:14" ht="20.100000000000001" customHeight="1" x14ac:dyDescent="0.25"/>
    <row r="5" spans="2:14" ht="20.100000000000001" customHeight="1" x14ac:dyDescent="0.25"/>
    <row r="6" spans="2:14" ht="20.100000000000001" customHeight="1" x14ac:dyDescent="0.25"/>
    <row r="7" spans="2:14" ht="20.100000000000001" customHeight="1" x14ac:dyDescent="0.25"/>
    <row r="8" spans="2:14" ht="20.100000000000001" customHeight="1" x14ac:dyDescent="0.25"/>
    <row r="9" spans="2:14" ht="20.100000000000001" customHeight="1" x14ac:dyDescent="0.25"/>
    <row r="10" spans="2:14" ht="20.100000000000001" customHeight="1" x14ac:dyDescent="0.25"/>
    <row r="11" spans="2:14" ht="20.100000000000001" customHeight="1" x14ac:dyDescent="0.25"/>
    <row r="12" spans="2:14" ht="20.100000000000001" customHeight="1" x14ac:dyDescent="0.25"/>
    <row r="13" spans="2:14" ht="20.100000000000001" customHeight="1" x14ac:dyDescent="0.25"/>
    <row r="14" spans="2:14" ht="20.100000000000001" customHeight="1" x14ac:dyDescent="0.25"/>
    <row r="15" spans="2:14" ht="20.100000000000001" customHeight="1" x14ac:dyDescent="0.25"/>
    <row r="16" spans="2:14" ht="20.100000000000001" customHeight="1" x14ac:dyDescent="0.25"/>
    <row r="17" ht="20.100000000000001"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E8DC3-96F9-4E13-B321-4F6F7DE5F7C7}">
  <dimension ref="A1:O17"/>
  <sheetViews>
    <sheetView showGridLines="0" workbookViewId="0">
      <pane ySplit="4" topLeftCell="A5" activePane="bottomLeft" state="frozen"/>
      <selection pane="bottomLeft" activeCell="D9" sqref="D9"/>
    </sheetView>
  </sheetViews>
  <sheetFormatPr defaultColWidth="0" defaultRowHeight="15" x14ac:dyDescent="0.25"/>
  <cols>
    <col min="1" max="1" width="2.7109375" customWidth="1"/>
    <col min="2" max="2" width="40.7109375" customWidth="1"/>
    <col min="3" max="14" width="11.7109375" customWidth="1"/>
    <col min="15" max="15" width="3.5703125" customWidth="1"/>
    <col min="16" max="16384" width="9.140625" hidden="1"/>
  </cols>
  <sheetData>
    <row r="1" spans="2:14" ht="39.950000000000003" customHeight="1" x14ac:dyDescent="0.25">
      <c r="B1" s="4" t="s">
        <v>0</v>
      </c>
      <c r="C1" s="1"/>
      <c r="D1" s="1"/>
      <c r="E1" s="1"/>
      <c r="F1" s="1"/>
      <c r="G1" s="1"/>
      <c r="H1" s="1"/>
      <c r="I1" s="1"/>
      <c r="J1" s="1"/>
      <c r="K1" s="1"/>
      <c r="L1" s="1"/>
      <c r="M1" s="1"/>
      <c r="N1" s="5" t="s">
        <v>8</v>
      </c>
    </row>
    <row r="2" spans="2:14" ht="39.950000000000003" customHeight="1" x14ac:dyDescent="0.25">
      <c r="B2" s="3"/>
      <c r="C2" s="3"/>
      <c r="D2" s="3"/>
      <c r="E2" s="3"/>
      <c r="F2" s="3"/>
      <c r="G2" s="3"/>
      <c r="H2" s="3"/>
      <c r="I2" s="3"/>
      <c r="J2" s="3"/>
      <c r="K2" s="3"/>
      <c r="L2" s="3"/>
      <c r="M2" s="3"/>
      <c r="N2" s="3"/>
    </row>
    <row r="3" spans="2:14" ht="20.100000000000001" customHeight="1" x14ac:dyDescent="0.25">
      <c r="B3" s="128" t="s">
        <v>19</v>
      </c>
      <c r="C3" s="3"/>
      <c r="D3" s="3"/>
      <c r="E3" s="3"/>
      <c r="F3" s="3"/>
      <c r="G3" s="3"/>
      <c r="H3" s="3"/>
      <c r="I3" s="3"/>
      <c r="J3" s="3"/>
      <c r="K3" s="3"/>
      <c r="L3" s="3"/>
      <c r="M3" s="3"/>
      <c r="N3" s="3"/>
    </row>
    <row r="4" spans="2:14" ht="20.100000000000001" customHeight="1" x14ac:dyDescent="0.25">
      <c r="B4" s="129" t="s">
        <v>20</v>
      </c>
      <c r="C4" s="3"/>
      <c r="D4" s="3"/>
      <c r="E4" s="3"/>
      <c r="F4" s="3"/>
      <c r="G4" s="3"/>
      <c r="H4" s="3"/>
      <c r="I4" s="3"/>
      <c r="J4" s="3"/>
      <c r="K4" s="3"/>
      <c r="L4" s="3"/>
      <c r="M4" s="3"/>
      <c r="N4" s="3"/>
    </row>
    <row r="5" spans="2:14" ht="20.100000000000001" customHeight="1" x14ac:dyDescent="0.25">
      <c r="B5" s="129" t="s">
        <v>21</v>
      </c>
    </row>
    <row r="6" spans="2:14" ht="20.100000000000001" customHeight="1" x14ac:dyDescent="0.25">
      <c r="B6" s="130" t="s">
        <v>25</v>
      </c>
    </row>
    <row r="7" spans="2:14" ht="20.100000000000001" customHeight="1" x14ac:dyDescent="0.25">
      <c r="B7" s="130" t="s">
        <v>22</v>
      </c>
    </row>
    <row r="8" spans="2:14" ht="20.100000000000001" customHeight="1" x14ac:dyDescent="0.25">
      <c r="B8" s="130" t="s">
        <v>23</v>
      </c>
    </row>
    <row r="9" spans="2:14" ht="20.100000000000001" customHeight="1" x14ac:dyDescent="0.25">
      <c r="B9" s="130" t="s">
        <v>24</v>
      </c>
    </row>
    <row r="10" spans="2:14" ht="20.100000000000001" customHeight="1" x14ac:dyDescent="0.25">
      <c r="B10" s="130"/>
    </row>
    <row r="11" spans="2:14" ht="20.100000000000001" customHeight="1" x14ac:dyDescent="0.25"/>
    <row r="12" spans="2:14" ht="20.100000000000001" customHeight="1" x14ac:dyDescent="0.25"/>
    <row r="13" spans="2:14" ht="20.100000000000001" customHeight="1" x14ac:dyDescent="0.25"/>
    <row r="14" spans="2:14" ht="20.100000000000001" customHeight="1" x14ac:dyDescent="0.25"/>
    <row r="15" spans="2:14" ht="20.100000000000001" customHeight="1" x14ac:dyDescent="0.25"/>
    <row r="16" spans="2:14" ht="20.100000000000001" customHeight="1" x14ac:dyDescent="0.25"/>
    <row r="17" ht="20.100000000000001" customHeight="1" x14ac:dyDescent="0.25"/>
  </sheetData>
  <sheetProtection selectLockedCells="1"/>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39BA-1233-40D6-8585-31A6D4FA11E3}">
  <dimension ref="A1:O17"/>
  <sheetViews>
    <sheetView showGridLines="0" workbookViewId="0">
      <pane ySplit="4" topLeftCell="A5" activePane="bottomLeft" state="frozen"/>
      <selection pane="bottomLeft" activeCell="C5" sqref="C5:C13"/>
    </sheetView>
  </sheetViews>
  <sheetFormatPr defaultColWidth="0" defaultRowHeight="15" x14ac:dyDescent="0.25"/>
  <cols>
    <col min="1" max="1" width="2.7109375" customWidth="1"/>
    <col min="2" max="2" width="40.7109375" customWidth="1"/>
    <col min="3" max="3" width="43.7109375" customWidth="1"/>
    <col min="4" max="14" width="8.7109375" customWidth="1"/>
    <col min="15" max="15" width="3.5703125" customWidth="1"/>
    <col min="16" max="16384" width="9.140625" hidden="1"/>
  </cols>
  <sheetData>
    <row r="1" spans="2:14" ht="39.950000000000003" customHeight="1" x14ac:dyDescent="0.25">
      <c r="B1" s="4" t="s">
        <v>0</v>
      </c>
      <c r="C1" s="1"/>
      <c r="D1" s="1"/>
      <c r="E1" s="1"/>
      <c r="F1" s="1"/>
      <c r="G1" s="1"/>
      <c r="H1" s="1"/>
      <c r="I1" s="1"/>
      <c r="J1" s="1"/>
      <c r="K1" s="1"/>
      <c r="L1" s="1"/>
      <c r="M1" s="1"/>
      <c r="N1" s="5" t="s">
        <v>9</v>
      </c>
    </row>
    <row r="2" spans="2:14" ht="39.950000000000003" customHeight="1" x14ac:dyDescent="0.25">
      <c r="B2" s="3"/>
      <c r="C2" s="3"/>
      <c r="D2" s="3"/>
      <c r="E2" s="3"/>
      <c r="F2" s="3"/>
      <c r="G2" s="3"/>
      <c r="H2" s="3"/>
      <c r="I2" s="3"/>
      <c r="J2" s="3"/>
      <c r="K2" s="3"/>
      <c r="L2" s="3"/>
      <c r="M2" s="3"/>
      <c r="N2" s="3"/>
    </row>
    <row r="3" spans="2:14" ht="20.100000000000001" customHeight="1" x14ac:dyDescent="0.25">
      <c r="B3" s="133" t="s">
        <v>26</v>
      </c>
      <c r="C3" s="134"/>
      <c r="D3" s="3"/>
      <c r="E3" s="3"/>
      <c r="F3" s="3"/>
      <c r="G3" s="3"/>
      <c r="H3" s="3"/>
      <c r="I3" s="3"/>
      <c r="J3" s="3"/>
      <c r="K3" s="3"/>
      <c r="L3" s="3"/>
      <c r="M3" s="3"/>
      <c r="N3" s="3"/>
    </row>
    <row r="4" spans="2:14" ht="20.100000000000001" customHeight="1" x14ac:dyDescent="0.25">
      <c r="B4" s="6" t="s">
        <v>20</v>
      </c>
      <c r="C4" s="6" t="s">
        <v>27</v>
      </c>
      <c r="D4" s="3"/>
      <c r="E4" s="3"/>
      <c r="F4" s="3"/>
      <c r="G4" s="3"/>
      <c r="H4" s="3"/>
      <c r="I4" s="3"/>
      <c r="J4" s="3"/>
      <c r="K4" s="3"/>
      <c r="L4" s="3"/>
      <c r="M4" s="3"/>
      <c r="N4" s="3"/>
    </row>
    <row r="5" spans="2:14" ht="20.100000000000001" customHeight="1" x14ac:dyDescent="0.25">
      <c r="B5" t="s">
        <v>21</v>
      </c>
      <c r="C5" t="s">
        <v>28</v>
      </c>
    </row>
    <row r="6" spans="2:14" ht="20.100000000000001" customHeight="1" x14ac:dyDescent="0.25">
      <c r="B6" t="s">
        <v>22</v>
      </c>
      <c r="C6" t="s">
        <v>29</v>
      </c>
    </row>
    <row r="7" spans="2:14" ht="20.100000000000001" customHeight="1" x14ac:dyDescent="0.25">
      <c r="B7" t="s">
        <v>23</v>
      </c>
      <c r="C7" t="s">
        <v>30</v>
      </c>
    </row>
    <row r="8" spans="2:14" ht="20.100000000000001" customHeight="1" x14ac:dyDescent="0.25">
      <c r="B8" t="s">
        <v>24</v>
      </c>
      <c r="C8" t="s">
        <v>31</v>
      </c>
    </row>
    <row r="9" spans="2:14" ht="20.100000000000001" customHeight="1" x14ac:dyDescent="0.25">
      <c r="B9" t="s">
        <v>24</v>
      </c>
      <c r="C9" t="s">
        <v>32</v>
      </c>
    </row>
    <row r="10" spans="2:14" ht="20.100000000000001" customHeight="1" x14ac:dyDescent="0.25">
      <c r="B10" t="s">
        <v>24</v>
      </c>
      <c r="C10" t="s">
        <v>33</v>
      </c>
    </row>
    <row r="11" spans="2:14" ht="20.100000000000001" customHeight="1" x14ac:dyDescent="0.25">
      <c r="B11" t="s">
        <v>24</v>
      </c>
      <c r="C11" t="s">
        <v>34</v>
      </c>
    </row>
    <row r="12" spans="2:14" ht="20.100000000000001" customHeight="1" x14ac:dyDescent="0.25">
      <c r="B12" t="s">
        <v>24</v>
      </c>
      <c r="C12" t="s">
        <v>35</v>
      </c>
    </row>
    <row r="13" spans="2:14" ht="20.100000000000001" customHeight="1" x14ac:dyDescent="0.25">
      <c r="B13" t="s">
        <v>25</v>
      </c>
      <c r="C13" t="s">
        <v>58</v>
      </c>
    </row>
    <row r="14" spans="2:14" ht="20.100000000000001" customHeight="1" x14ac:dyDescent="0.25"/>
    <row r="15" spans="2:14" ht="20.100000000000001" customHeight="1" x14ac:dyDescent="0.25"/>
    <row r="16" spans="2:14" ht="20.100000000000001" customHeight="1" x14ac:dyDescent="0.25"/>
    <row r="17" ht="20.100000000000001" customHeight="1" x14ac:dyDescent="0.25"/>
  </sheetData>
  <mergeCells count="1">
    <mergeCell ref="B3:C3"/>
  </mergeCells>
  <dataValidations count="1">
    <dataValidation type="list" allowBlank="1" showInputMessage="1" showErrorMessage="1" sqref="B5:B13" xr:uid="{51CE75CB-3C61-41BA-BD6A-6DAC7EAB6557}">
      <formula1>PCEntradasN1_Nível_1</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6320-9E6D-4FBD-B39B-FD2A2A396513}">
  <dimension ref="A1:O17"/>
  <sheetViews>
    <sheetView showGridLines="0" workbookViewId="0">
      <pane ySplit="4" topLeftCell="A5" activePane="bottomLeft" state="frozen"/>
      <selection pane="bottomLeft" activeCell="B5" sqref="B5:B10"/>
    </sheetView>
  </sheetViews>
  <sheetFormatPr defaultColWidth="0" defaultRowHeight="15" x14ac:dyDescent="0.25"/>
  <cols>
    <col min="1" max="1" width="2.7109375" customWidth="1"/>
    <col min="2" max="2" width="40.7109375" customWidth="1"/>
    <col min="3" max="14" width="11.7109375" customWidth="1"/>
    <col min="15" max="15" width="3.5703125" customWidth="1"/>
    <col min="16" max="16384" width="9.140625" hidden="1"/>
  </cols>
  <sheetData>
    <row r="1" spans="2:14" ht="39.950000000000003" customHeight="1" x14ac:dyDescent="0.25">
      <c r="B1" s="4" t="s">
        <v>0</v>
      </c>
      <c r="C1" s="1"/>
      <c r="D1" s="1"/>
      <c r="E1" s="1"/>
      <c r="F1" s="1"/>
      <c r="G1" s="1"/>
      <c r="H1" s="1"/>
      <c r="I1" s="1"/>
      <c r="J1" s="1"/>
      <c r="K1" s="1"/>
      <c r="L1" s="1"/>
      <c r="M1" s="1"/>
      <c r="N1" s="5" t="s">
        <v>10</v>
      </c>
    </row>
    <row r="2" spans="2:14" ht="39.950000000000003" customHeight="1" x14ac:dyDescent="0.25">
      <c r="B2" s="3"/>
      <c r="C2" s="3"/>
      <c r="D2" s="3"/>
      <c r="E2" s="3"/>
      <c r="F2" s="3"/>
      <c r="G2" s="3"/>
      <c r="H2" s="3"/>
      <c r="I2" s="3"/>
      <c r="J2" s="3"/>
      <c r="K2" s="3"/>
      <c r="L2" s="3"/>
      <c r="M2" s="3"/>
      <c r="N2" s="3"/>
    </row>
    <row r="3" spans="2:14" ht="20.100000000000001" customHeight="1" x14ac:dyDescent="0.25">
      <c r="B3" s="7" t="s">
        <v>42</v>
      </c>
      <c r="C3" s="3"/>
      <c r="D3" s="3"/>
      <c r="E3" s="3"/>
      <c r="F3" s="3"/>
      <c r="G3" s="3"/>
      <c r="H3" s="3"/>
      <c r="I3" s="3"/>
      <c r="J3" s="3"/>
      <c r="K3" s="3"/>
      <c r="L3" s="3"/>
      <c r="M3" s="3"/>
      <c r="N3" s="3"/>
    </row>
    <row r="4" spans="2:14" ht="20.100000000000001" customHeight="1" x14ac:dyDescent="0.25">
      <c r="B4" s="6" t="s">
        <v>20</v>
      </c>
      <c r="C4" s="3"/>
      <c r="D4" s="3"/>
      <c r="E4" s="3"/>
      <c r="F4" s="3"/>
      <c r="G4" s="3"/>
      <c r="H4" s="3"/>
      <c r="I4" s="3"/>
      <c r="J4" s="3"/>
      <c r="K4" s="3"/>
      <c r="L4" s="3"/>
      <c r="M4" s="3"/>
      <c r="N4" s="3"/>
    </row>
    <row r="5" spans="2:14" ht="20.100000000000001" customHeight="1" x14ac:dyDescent="0.25">
      <c r="B5" t="s">
        <v>36</v>
      </c>
    </row>
    <row r="6" spans="2:14" ht="20.100000000000001" customHeight="1" x14ac:dyDescent="0.25">
      <c r="B6" t="s">
        <v>37</v>
      </c>
    </row>
    <row r="7" spans="2:14" ht="20.100000000000001" customHeight="1" x14ac:dyDescent="0.25">
      <c r="B7" t="s">
        <v>38</v>
      </c>
    </row>
    <row r="8" spans="2:14" ht="20.100000000000001" customHeight="1" x14ac:dyDescent="0.25">
      <c r="B8" t="s">
        <v>39</v>
      </c>
    </row>
    <row r="9" spans="2:14" ht="20.100000000000001" customHeight="1" x14ac:dyDescent="0.25">
      <c r="B9" t="s">
        <v>40</v>
      </c>
    </row>
    <row r="10" spans="2:14" ht="20.100000000000001" customHeight="1" x14ac:dyDescent="0.25">
      <c r="B10" t="s">
        <v>41</v>
      </c>
    </row>
    <row r="11" spans="2:14" ht="20.100000000000001" customHeight="1" x14ac:dyDescent="0.25"/>
    <row r="12" spans="2:14" ht="20.100000000000001" customHeight="1" x14ac:dyDescent="0.25"/>
    <row r="13" spans="2:14" ht="20.100000000000001" customHeight="1" x14ac:dyDescent="0.25"/>
    <row r="14" spans="2:14" ht="20.100000000000001" customHeight="1" x14ac:dyDescent="0.25"/>
    <row r="15" spans="2:14" ht="20.100000000000001" customHeight="1" x14ac:dyDescent="0.25"/>
    <row r="16" spans="2:14" ht="20.100000000000001" customHeight="1" x14ac:dyDescent="0.25"/>
    <row r="17" ht="20.100000000000001" customHeight="1" x14ac:dyDescent="0.25"/>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EF350-E291-4FEB-AEB8-CC8341E81797}">
  <dimension ref="A1:O17"/>
  <sheetViews>
    <sheetView showGridLines="0" workbookViewId="0">
      <pane ySplit="4" topLeftCell="A10" activePane="bottomLeft" state="frozen"/>
      <selection pane="bottomLeft"/>
    </sheetView>
  </sheetViews>
  <sheetFormatPr defaultColWidth="0" defaultRowHeight="15" x14ac:dyDescent="0.25"/>
  <cols>
    <col min="1" max="1" width="2.7109375" customWidth="1"/>
    <col min="2" max="2" width="40.7109375" customWidth="1"/>
    <col min="3" max="3" width="44.85546875" customWidth="1"/>
    <col min="4" max="14" width="8.7109375" customWidth="1"/>
    <col min="15" max="15" width="3.5703125" customWidth="1"/>
    <col min="16" max="16384" width="9.140625" hidden="1"/>
  </cols>
  <sheetData>
    <row r="1" spans="2:14" ht="39.950000000000003" customHeight="1" x14ac:dyDescent="0.25">
      <c r="B1" s="4" t="s">
        <v>0</v>
      </c>
      <c r="C1" s="1"/>
      <c r="D1" s="1"/>
      <c r="E1" s="1"/>
      <c r="F1" s="1"/>
      <c r="G1" s="1"/>
      <c r="H1" s="1"/>
      <c r="I1" s="1"/>
      <c r="J1" s="1"/>
      <c r="K1" s="1"/>
      <c r="L1" s="1"/>
      <c r="M1" s="1"/>
      <c r="N1" s="5" t="s">
        <v>11</v>
      </c>
    </row>
    <row r="2" spans="2:14" ht="39.950000000000003" customHeight="1" x14ac:dyDescent="0.25">
      <c r="B2" s="3"/>
      <c r="C2" s="3"/>
      <c r="D2" s="3"/>
      <c r="E2" s="3"/>
      <c r="F2" s="3"/>
      <c r="G2" s="3"/>
      <c r="H2" s="3"/>
      <c r="I2" s="3"/>
      <c r="J2" s="3"/>
      <c r="K2" s="3"/>
      <c r="L2" s="3"/>
      <c r="M2" s="3"/>
      <c r="N2" s="3"/>
    </row>
    <row r="3" spans="2:14" ht="20.100000000000001" customHeight="1" x14ac:dyDescent="0.25">
      <c r="B3" s="135" t="s">
        <v>50</v>
      </c>
      <c r="C3" s="136"/>
      <c r="D3" s="3"/>
      <c r="E3" s="3"/>
      <c r="F3" s="3"/>
      <c r="G3" s="3"/>
      <c r="H3" s="3"/>
      <c r="I3" s="3"/>
      <c r="J3" s="3"/>
      <c r="K3" s="3"/>
      <c r="L3" s="3"/>
      <c r="M3" s="3"/>
      <c r="N3" s="3"/>
    </row>
    <row r="4" spans="2:14" ht="20.100000000000001" customHeight="1" x14ac:dyDescent="0.25">
      <c r="B4" s="6" t="s">
        <v>20</v>
      </c>
      <c r="C4" s="6" t="s">
        <v>27</v>
      </c>
      <c r="D4" s="3"/>
      <c r="E4" s="3"/>
      <c r="F4" s="3"/>
      <c r="G4" s="3"/>
      <c r="H4" s="3"/>
      <c r="I4" s="3"/>
      <c r="J4" s="3"/>
      <c r="K4" s="3"/>
      <c r="L4" s="3"/>
      <c r="M4" s="3"/>
      <c r="N4" s="3"/>
    </row>
    <row r="5" spans="2:14" ht="20.100000000000001" customHeight="1" x14ac:dyDescent="0.25">
      <c r="B5" t="s">
        <v>36</v>
      </c>
      <c r="C5" t="s">
        <v>31</v>
      </c>
    </row>
    <row r="6" spans="2:14" ht="20.100000000000001" customHeight="1" x14ac:dyDescent="0.25">
      <c r="B6" t="s">
        <v>36</v>
      </c>
      <c r="C6" t="s">
        <v>32</v>
      </c>
    </row>
    <row r="7" spans="2:14" ht="20.100000000000001" customHeight="1" x14ac:dyDescent="0.25">
      <c r="B7" t="s">
        <v>36</v>
      </c>
      <c r="C7" t="s">
        <v>33</v>
      </c>
    </row>
    <row r="8" spans="2:14" ht="20.100000000000001" customHeight="1" x14ac:dyDescent="0.25">
      <c r="B8" t="s">
        <v>36</v>
      </c>
      <c r="C8" t="s">
        <v>35</v>
      </c>
    </row>
    <row r="9" spans="2:14" ht="20.100000000000001" customHeight="1" x14ac:dyDescent="0.25">
      <c r="B9" t="s">
        <v>36</v>
      </c>
      <c r="C9" t="s">
        <v>43</v>
      </c>
    </row>
    <row r="10" spans="2:14" ht="20.100000000000001" customHeight="1" x14ac:dyDescent="0.25">
      <c r="B10" t="s">
        <v>37</v>
      </c>
      <c r="C10" t="s">
        <v>44</v>
      </c>
    </row>
    <row r="11" spans="2:14" ht="20.100000000000001" customHeight="1" x14ac:dyDescent="0.25">
      <c r="B11" t="s">
        <v>37</v>
      </c>
      <c r="C11" t="s">
        <v>45</v>
      </c>
    </row>
    <row r="12" spans="2:14" ht="20.100000000000001" customHeight="1" x14ac:dyDescent="0.25">
      <c r="B12" t="s">
        <v>38</v>
      </c>
      <c r="C12" t="s">
        <v>46</v>
      </c>
    </row>
    <row r="13" spans="2:14" ht="20.100000000000001" customHeight="1" x14ac:dyDescent="0.25">
      <c r="B13" t="s">
        <v>38</v>
      </c>
      <c r="C13" t="s">
        <v>47</v>
      </c>
    </row>
    <row r="14" spans="2:14" ht="20.100000000000001" customHeight="1" x14ac:dyDescent="0.25">
      <c r="B14" t="s">
        <v>39</v>
      </c>
      <c r="C14" t="s">
        <v>48</v>
      </c>
    </row>
    <row r="15" spans="2:14" ht="20.100000000000001" customHeight="1" x14ac:dyDescent="0.25">
      <c r="B15" t="s">
        <v>40</v>
      </c>
      <c r="C15" t="s">
        <v>49</v>
      </c>
    </row>
    <row r="16" spans="2:14" ht="20.100000000000001" customHeight="1" x14ac:dyDescent="0.25">
      <c r="B16" t="s">
        <v>41</v>
      </c>
      <c r="C16" t="s">
        <v>58</v>
      </c>
    </row>
    <row r="17" ht="20.100000000000001" customHeight="1" x14ac:dyDescent="0.25"/>
  </sheetData>
  <mergeCells count="1">
    <mergeCell ref="B3:C3"/>
  </mergeCells>
  <dataValidations count="1">
    <dataValidation type="list" allowBlank="1" showInputMessage="1" showErrorMessage="1" sqref="B5:B16" xr:uid="{B01582CE-473B-431F-931B-D4E1D1DE7484}">
      <formula1>PCSaídasN1_Nível_1</formula1>
    </dataValidation>
  </dataValidation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440EA-ECE9-48C9-8F30-0FD373F5B8F3}">
  <dimension ref="A1:XFA234"/>
  <sheetViews>
    <sheetView showGridLines="0" workbookViewId="0">
      <pane ySplit="3" topLeftCell="A4" activePane="bottomLeft" state="frozen"/>
      <selection pane="bottomLeft" activeCell="H4" sqref="H4"/>
    </sheetView>
  </sheetViews>
  <sheetFormatPr defaultColWidth="0" defaultRowHeight="15" x14ac:dyDescent="0.25"/>
  <cols>
    <col min="1" max="1" width="2.7109375" customWidth="1"/>
    <col min="2" max="2" width="20.7109375" style="11" customWidth="1"/>
    <col min="3" max="3" width="18.7109375" style="11" customWidth="1"/>
    <col min="4" max="4" width="18.5703125" style="11" customWidth="1"/>
    <col min="5" max="5" width="33" customWidth="1"/>
    <col min="6" max="6" width="26.5703125" customWidth="1"/>
    <col min="7" max="7" width="41.5703125" customWidth="1"/>
    <col min="8" max="8" width="20.5703125" style="14" customWidth="1"/>
    <col min="9" max="9" width="12.42578125" hidden="1"/>
    <col min="10" max="10" width="12.140625" hidden="1"/>
    <col min="11" max="12" width="15.5703125" hidden="1"/>
    <col min="13" max="14" width="10.7109375" hidden="1"/>
    <col min="15" max="15" width="12.28515625" hidden="1"/>
    <col min="16" max="16" width="15.140625" hidden="1"/>
    <col min="17" max="17" width="10" hidden="1"/>
    <col min="18" max="16379" width="9.140625" hidden="1"/>
    <col min="16380" max="16380" width="4.7109375" hidden="1"/>
    <col min="16381" max="16381" width="2.85546875" hidden="1"/>
    <col min="16382" max="16384" width="9.140625" hidden="1"/>
  </cols>
  <sheetData>
    <row r="1" spans="2:17" ht="39.950000000000003" customHeight="1" x14ac:dyDescent="0.25">
      <c r="B1" s="8" t="s">
        <v>0</v>
      </c>
      <c r="C1" s="9"/>
      <c r="D1" s="9"/>
      <c r="E1" s="1"/>
      <c r="F1" s="1"/>
      <c r="G1" s="1"/>
      <c r="H1" s="12" t="s">
        <v>12</v>
      </c>
    </row>
    <row r="2" spans="2:17" ht="39.950000000000003" customHeight="1" x14ac:dyDescent="0.25">
      <c r="B2" s="10"/>
      <c r="C2" s="10"/>
      <c r="D2" s="10"/>
      <c r="E2" s="3"/>
      <c r="F2" s="3"/>
      <c r="G2" s="3"/>
      <c r="H2" s="13"/>
    </row>
    <row r="3" spans="2:17" s="15" customFormat="1" ht="37.5" customHeight="1" thickBot="1" x14ac:dyDescent="0.3">
      <c r="B3" s="16" t="s">
        <v>51</v>
      </c>
      <c r="C3" s="16" t="s">
        <v>52</v>
      </c>
      <c r="D3" s="16" t="s">
        <v>53</v>
      </c>
      <c r="E3" s="17" t="s">
        <v>54</v>
      </c>
      <c r="F3" s="17" t="s">
        <v>55</v>
      </c>
      <c r="G3" s="17" t="s">
        <v>56</v>
      </c>
      <c r="H3" s="18" t="s">
        <v>57</v>
      </c>
      <c r="I3" s="17" t="s">
        <v>536</v>
      </c>
      <c r="J3" s="17" t="s">
        <v>537</v>
      </c>
      <c r="K3" s="17" t="s">
        <v>538</v>
      </c>
      <c r="L3" s="17" t="s">
        <v>539</v>
      </c>
      <c r="M3" s="20" t="s">
        <v>545</v>
      </c>
      <c r="N3" s="20" t="s">
        <v>546</v>
      </c>
      <c r="O3" s="17" t="s">
        <v>548</v>
      </c>
      <c r="P3" s="17" t="s">
        <v>605</v>
      </c>
      <c r="Q3" s="17" t="s">
        <v>606</v>
      </c>
    </row>
    <row r="4" spans="2:17" ht="20.100000000000001" customHeight="1" x14ac:dyDescent="0.25">
      <c r="B4" s="11">
        <v>42994</v>
      </c>
      <c r="C4" s="11">
        <v>42957</v>
      </c>
      <c r="D4" s="11">
        <v>42972</v>
      </c>
      <c r="E4" t="s">
        <v>24</v>
      </c>
      <c r="F4" t="s">
        <v>32</v>
      </c>
      <c r="G4" t="s">
        <v>59</v>
      </c>
      <c r="H4" s="114">
        <v>1133</v>
      </c>
      <c r="I4">
        <f>IF(TbRegistroEntradas[[#This Row],[Data do Caixa Realizado]]="",0,MONTH(TbRegistroEntradas[[#This Row],[Data do Caixa Realizado]]))</f>
        <v>9</v>
      </c>
      <c r="J4">
        <f>IF(TbRegistroEntradas[[#This Row],[Data do Caixa Realizado]]="",0,YEAR(TbRegistroEntradas[[#This Row],[Data do Caixa Realizado]]))</f>
        <v>2017</v>
      </c>
      <c r="K4">
        <f>IF(TbRegistroEntradas[[#This Row],[Data da Competência]]="",0,MONTH(TbRegistroEntradas[[#This Row],[Data da Competência]]))</f>
        <v>8</v>
      </c>
      <c r="L4">
        <f>IF(TbRegistroEntradas[[#This Row],[Data da Competência]]="",0,YEAR(TbRegistroEntradas[[#This Row],[Data da Competência]]))</f>
        <v>2017</v>
      </c>
      <c r="M4">
        <f>IF(TbRegistroEntradas[[#This Row],[Data do Caixa Previsto]]="",0,MONTH(TbRegistroEntradas[[#This Row],[Data do Caixa Previsto]]))</f>
        <v>8</v>
      </c>
      <c r="N4">
        <f>IF(TbRegistroEntradas[[#This Row],[Data do Caixa Previsto]]="",0,YEAR(TbRegistroEntradas[[#This Row],[Data do Caixa Previsto]]))</f>
        <v>2017</v>
      </c>
      <c r="O4" t="str">
        <f ca="1">IF(AND(TbRegistroEntradas[[#This Row],[Data do Caixa Previsto]]&lt;TODAY(),TbRegistroEntradas[[#This Row],[Data do Caixa Realizado]]=""),"Vencida","Não Vencida")</f>
        <v>Não Vencida</v>
      </c>
      <c r="P4" t="str">
        <f>IF(TbRegistroEntradas[[#This Row],[Data da Competência]]=TbRegistroEntradas[[#This Row],[Data do Caixa Previsto]],"Vista","Prazo")</f>
        <v>Prazo</v>
      </c>
      <c r="Q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22</v>
      </c>
    </row>
    <row r="5" spans="2:17" ht="20.100000000000001" customHeight="1" x14ac:dyDescent="0.25">
      <c r="B5" s="11">
        <v>42985</v>
      </c>
      <c r="C5" s="11">
        <v>42960</v>
      </c>
      <c r="D5" s="11">
        <v>42985</v>
      </c>
      <c r="E5" t="s">
        <v>24</v>
      </c>
      <c r="F5" t="s">
        <v>34</v>
      </c>
      <c r="G5" t="s">
        <v>60</v>
      </c>
      <c r="H5" s="114">
        <v>164</v>
      </c>
      <c r="I5">
        <f>IF(TbRegistroEntradas[[#This Row],[Data do Caixa Realizado]]="",0,MONTH(TbRegistroEntradas[[#This Row],[Data do Caixa Realizado]]))</f>
        <v>9</v>
      </c>
      <c r="J5">
        <f>IF(TbRegistroEntradas[[#This Row],[Data do Caixa Realizado]]="",0,YEAR(TbRegistroEntradas[[#This Row],[Data do Caixa Realizado]]))</f>
        <v>2017</v>
      </c>
      <c r="K5">
        <f>IF(TbRegistroEntradas[[#This Row],[Data da Competência]]="",0,MONTH(TbRegistroEntradas[[#This Row],[Data da Competência]]))</f>
        <v>8</v>
      </c>
      <c r="L5">
        <f>IF(TbRegistroEntradas[[#This Row],[Data da Competência]]="",0,YEAR(TbRegistroEntradas[[#This Row],[Data da Competência]]))</f>
        <v>2017</v>
      </c>
      <c r="M5">
        <f>IF(TbRegistroEntradas[[#This Row],[Data do Caixa Previsto]]="",0,MONTH(TbRegistroEntradas[[#This Row],[Data do Caixa Previsto]]))</f>
        <v>9</v>
      </c>
      <c r="N5">
        <f>IF(TbRegistroEntradas[[#This Row],[Data do Caixa Previsto]]="",0,YEAR(TbRegistroEntradas[[#This Row],[Data do Caixa Previsto]]))</f>
        <v>2017</v>
      </c>
      <c r="O5" t="str">
        <f ca="1">IF(AND(TbRegistroEntradas[[#This Row],[Data do Caixa Previsto]]&lt;TODAY(),TbRegistroEntradas[[#This Row],[Data do Caixa Realizado]]=""),"Vencida","Não Vencida")</f>
        <v>Não Vencida</v>
      </c>
      <c r="P5" t="str">
        <f>IF(TbRegistroEntradas[[#This Row],[Data da Competência]]=TbRegistroEntradas[[#This Row],[Data do Caixa Previsto]],"Vista","Prazo")</f>
        <v>Prazo</v>
      </c>
      <c r="Q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6" spans="2:17" ht="20.100000000000001" customHeight="1" x14ac:dyDescent="0.25">
      <c r="B6" s="11">
        <v>43007</v>
      </c>
      <c r="C6" s="11">
        <v>42964</v>
      </c>
      <c r="D6" s="11">
        <v>43001</v>
      </c>
      <c r="E6" t="s">
        <v>24</v>
      </c>
      <c r="F6" t="s">
        <v>34</v>
      </c>
      <c r="G6" t="s">
        <v>61</v>
      </c>
      <c r="H6" s="114">
        <v>2937</v>
      </c>
      <c r="I6">
        <f>IF(TbRegistroEntradas[[#This Row],[Data do Caixa Realizado]]="",0,MONTH(TbRegistroEntradas[[#This Row],[Data do Caixa Realizado]]))</f>
        <v>9</v>
      </c>
      <c r="J6">
        <f>IF(TbRegistroEntradas[[#This Row],[Data do Caixa Realizado]]="",0,YEAR(TbRegistroEntradas[[#This Row],[Data do Caixa Realizado]]))</f>
        <v>2017</v>
      </c>
      <c r="K6">
        <f>IF(TbRegistroEntradas[[#This Row],[Data da Competência]]="",0,MONTH(TbRegistroEntradas[[#This Row],[Data da Competência]]))</f>
        <v>8</v>
      </c>
      <c r="L6">
        <f>IF(TbRegistroEntradas[[#This Row],[Data da Competência]]="",0,YEAR(TbRegistroEntradas[[#This Row],[Data da Competência]]))</f>
        <v>2017</v>
      </c>
      <c r="M6">
        <f>IF(TbRegistroEntradas[[#This Row],[Data do Caixa Previsto]]="",0,MONTH(TbRegistroEntradas[[#This Row],[Data do Caixa Previsto]]))</f>
        <v>9</v>
      </c>
      <c r="N6">
        <f>IF(TbRegistroEntradas[[#This Row],[Data do Caixa Previsto]]="",0,YEAR(TbRegistroEntradas[[#This Row],[Data do Caixa Previsto]]))</f>
        <v>2017</v>
      </c>
      <c r="O6" t="str">
        <f ca="1">IF(AND(TbRegistroEntradas[[#This Row],[Data do Caixa Previsto]]&lt;TODAY(),TbRegistroEntradas[[#This Row],[Data do Caixa Realizado]]=""),"Vencida","Não Vencida")</f>
        <v>Não Vencida</v>
      </c>
      <c r="P6" t="str">
        <f>IF(TbRegistroEntradas[[#This Row],[Data da Competência]]=TbRegistroEntradas[[#This Row],[Data do Caixa Previsto]],"Vista","Prazo")</f>
        <v>Prazo</v>
      </c>
      <c r="Q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6</v>
      </c>
    </row>
    <row r="7" spans="2:17" ht="20.100000000000001" customHeight="1" x14ac:dyDescent="0.25">
      <c r="B7" s="11">
        <v>43020</v>
      </c>
      <c r="C7" s="11">
        <v>42969</v>
      </c>
      <c r="D7" s="11">
        <v>43020</v>
      </c>
      <c r="E7" t="s">
        <v>24</v>
      </c>
      <c r="F7" t="s">
        <v>35</v>
      </c>
      <c r="G7" t="s">
        <v>62</v>
      </c>
      <c r="H7" s="114">
        <v>807</v>
      </c>
      <c r="I7">
        <f>IF(TbRegistroEntradas[[#This Row],[Data do Caixa Realizado]]="",0,MONTH(TbRegistroEntradas[[#This Row],[Data do Caixa Realizado]]))</f>
        <v>10</v>
      </c>
      <c r="J7">
        <f>IF(TbRegistroEntradas[[#This Row],[Data do Caixa Realizado]]="",0,YEAR(TbRegistroEntradas[[#This Row],[Data do Caixa Realizado]]))</f>
        <v>2017</v>
      </c>
      <c r="K7">
        <f>IF(TbRegistroEntradas[[#This Row],[Data da Competência]]="",0,MONTH(TbRegistroEntradas[[#This Row],[Data da Competência]]))</f>
        <v>8</v>
      </c>
      <c r="L7">
        <f>IF(TbRegistroEntradas[[#This Row],[Data da Competência]]="",0,YEAR(TbRegistroEntradas[[#This Row],[Data da Competência]]))</f>
        <v>2017</v>
      </c>
      <c r="M7">
        <f>IF(TbRegistroEntradas[[#This Row],[Data do Caixa Previsto]]="",0,MONTH(TbRegistroEntradas[[#This Row],[Data do Caixa Previsto]]))</f>
        <v>10</v>
      </c>
      <c r="N7">
        <f>IF(TbRegistroEntradas[[#This Row],[Data do Caixa Previsto]]="",0,YEAR(TbRegistroEntradas[[#This Row],[Data do Caixa Previsto]]))</f>
        <v>2017</v>
      </c>
      <c r="O7" t="str">
        <f ca="1">IF(AND(TbRegistroEntradas[[#This Row],[Data do Caixa Previsto]]&lt;TODAY(),TbRegistroEntradas[[#This Row],[Data do Caixa Realizado]]=""),"Vencida","Não Vencida")</f>
        <v>Não Vencida</v>
      </c>
      <c r="P7" t="str">
        <f>IF(TbRegistroEntradas[[#This Row],[Data da Competência]]=TbRegistroEntradas[[#This Row],[Data do Caixa Previsto]],"Vista","Prazo")</f>
        <v>Prazo</v>
      </c>
      <c r="Q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8" spans="2:17" ht="20.100000000000001" customHeight="1" x14ac:dyDescent="0.25">
      <c r="B8" s="11">
        <v>43014</v>
      </c>
      <c r="C8" s="11">
        <v>42972</v>
      </c>
      <c r="D8" s="11">
        <v>43014</v>
      </c>
      <c r="E8" t="s">
        <v>24</v>
      </c>
      <c r="F8" t="s">
        <v>32</v>
      </c>
      <c r="G8" t="s">
        <v>63</v>
      </c>
      <c r="H8" s="114">
        <v>2612</v>
      </c>
      <c r="I8">
        <f>IF(TbRegistroEntradas[[#This Row],[Data do Caixa Realizado]]="",0,MONTH(TbRegistroEntradas[[#This Row],[Data do Caixa Realizado]]))</f>
        <v>10</v>
      </c>
      <c r="J8">
        <f>IF(TbRegistroEntradas[[#This Row],[Data do Caixa Realizado]]="",0,YEAR(TbRegistroEntradas[[#This Row],[Data do Caixa Realizado]]))</f>
        <v>2017</v>
      </c>
      <c r="K8">
        <f>IF(TbRegistroEntradas[[#This Row],[Data da Competência]]="",0,MONTH(TbRegistroEntradas[[#This Row],[Data da Competência]]))</f>
        <v>8</v>
      </c>
      <c r="L8">
        <f>IF(TbRegistroEntradas[[#This Row],[Data da Competência]]="",0,YEAR(TbRegistroEntradas[[#This Row],[Data da Competência]]))</f>
        <v>2017</v>
      </c>
      <c r="M8">
        <f>IF(TbRegistroEntradas[[#This Row],[Data do Caixa Previsto]]="",0,MONTH(TbRegistroEntradas[[#This Row],[Data do Caixa Previsto]]))</f>
        <v>10</v>
      </c>
      <c r="N8">
        <f>IF(TbRegistroEntradas[[#This Row],[Data do Caixa Previsto]]="",0,YEAR(TbRegistroEntradas[[#This Row],[Data do Caixa Previsto]]))</f>
        <v>2017</v>
      </c>
      <c r="O8" t="str">
        <f ca="1">IF(AND(TbRegistroEntradas[[#This Row],[Data do Caixa Previsto]]&lt;TODAY(),TbRegistroEntradas[[#This Row],[Data do Caixa Realizado]]=""),"Vencida","Não Vencida")</f>
        <v>Não Vencida</v>
      </c>
      <c r="P8" t="str">
        <f>IF(TbRegistroEntradas[[#This Row],[Data da Competência]]=TbRegistroEntradas[[#This Row],[Data do Caixa Previsto]],"Vista","Prazo")</f>
        <v>Prazo</v>
      </c>
      <c r="Q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9" spans="2:17" ht="20.100000000000001" customHeight="1" x14ac:dyDescent="0.25">
      <c r="B9" s="11">
        <v>43054</v>
      </c>
      <c r="C9" s="11">
        <v>42974</v>
      </c>
      <c r="D9" s="11">
        <v>43030</v>
      </c>
      <c r="E9" t="s">
        <v>24</v>
      </c>
      <c r="F9" t="s">
        <v>34</v>
      </c>
      <c r="G9" t="s">
        <v>64</v>
      </c>
      <c r="H9" s="114">
        <v>2483</v>
      </c>
      <c r="I9">
        <f>IF(TbRegistroEntradas[[#This Row],[Data do Caixa Realizado]]="",0,MONTH(TbRegistroEntradas[[#This Row],[Data do Caixa Realizado]]))</f>
        <v>11</v>
      </c>
      <c r="J9">
        <f>IF(TbRegistroEntradas[[#This Row],[Data do Caixa Realizado]]="",0,YEAR(TbRegistroEntradas[[#This Row],[Data do Caixa Realizado]]))</f>
        <v>2017</v>
      </c>
      <c r="K9">
        <f>IF(TbRegistroEntradas[[#This Row],[Data da Competência]]="",0,MONTH(TbRegistroEntradas[[#This Row],[Data da Competência]]))</f>
        <v>8</v>
      </c>
      <c r="L9">
        <f>IF(TbRegistroEntradas[[#This Row],[Data da Competência]]="",0,YEAR(TbRegistroEntradas[[#This Row],[Data da Competência]]))</f>
        <v>2017</v>
      </c>
      <c r="M9">
        <f>IF(TbRegistroEntradas[[#This Row],[Data do Caixa Previsto]]="",0,MONTH(TbRegistroEntradas[[#This Row],[Data do Caixa Previsto]]))</f>
        <v>10</v>
      </c>
      <c r="N9">
        <f>IF(TbRegistroEntradas[[#This Row],[Data do Caixa Previsto]]="",0,YEAR(TbRegistroEntradas[[#This Row],[Data do Caixa Previsto]]))</f>
        <v>2017</v>
      </c>
      <c r="O9" t="str">
        <f ca="1">IF(AND(TbRegistroEntradas[[#This Row],[Data do Caixa Previsto]]&lt;TODAY(),TbRegistroEntradas[[#This Row],[Data do Caixa Realizado]]=""),"Vencida","Não Vencida")</f>
        <v>Não Vencida</v>
      </c>
      <c r="P9" t="str">
        <f>IF(TbRegistroEntradas[[#This Row],[Data da Competência]]=TbRegistroEntradas[[#This Row],[Data do Caixa Previsto]],"Vista","Prazo")</f>
        <v>Prazo</v>
      </c>
      <c r="Q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24</v>
      </c>
    </row>
    <row r="10" spans="2:17" ht="20.100000000000001" customHeight="1" x14ac:dyDescent="0.25">
      <c r="B10" s="11">
        <v>43087</v>
      </c>
      <c r="C10" s="11">
        <v>42979</v>
      </c>
      <c r="D10" s="11">
        <v>43009</v>
      </c>
      <c r="E10" t="s">
        <v>24</v>
      </c>
      <c r="F10" t="s">
        <v>32</v>
      </c>
      <c r="G10" t="s">
        <v>65</v>
      </c>
      <c r="H10" s="114">
        <v>4387</v>
      </c>
      <c r="I10">
        <f>IF(TbRegistroEntradas[[#This Row],[Data do Caixa Realizado]]="",0,MONTH(TbRegistroEntradas[[#This Row],[Data do Caixa Realizado]]))</f>
        <v>12</v>
      </c>
      <c r="J10">
        <f>IF(TbRegistroEntradas[[#This Row],[Data do Caixa Realizado]]="",0,YEAR(TbRegistroEntradas[[#This Row],[Data do Caixa Realizado]]))</f>
        <v>2017</v>
      </c>
      <c r="K10">
        <f>IF(TbRegistroEntradas[[#This Row],[Data da Competência]]="",0,MONTH(TbRegistroEntradas[[#This Row],[Data da Competência]]))</f>
        <v>9</v>
      </c>
      <c r="L10">
        <f>IF(TbRegistroEntradas[[#This Row],[Data da Competência]]="",0,YEAR(TbRegistroEntradas[[#This Row],[Data da Competência]]))</f>
        <v>2017</v>
      </c>
      <c r="M10">
        <f>IF(TbRegistroEntradas[[#This Row],[Data do Caixa Previsto]]="",0,MONTH(TbRegistroEntradas[[#This Row],[Data do Caixa Previsto]]))</f>
        <v>10</v>
      </c>
      <c r="N10">
        <f>IF(TbRegistroEntradas[[#This Row],[Data do Caixa Previsto]]="",0,YEAR(TbRegistroEntradas[[#This Row],[Data do Caixa Previsto]]))</f>
        <v>2017</v>
      </c>
      <c r="O10" t="str">
        <f ca="1">IF(AND(TbRegistroEntradas[[#This Row],[Data do Caixa Previsto]]&lt;TODAY(),TbRegistroEntradas[[#This Row],[Data do Caixa Realizado]]=""),"Vencida","Não Vencida")</f>
        <v>Não Vencida</v>
      </c>
      <c r="P10" t="str">
        <f>IF(TbRegistroEntradas[[#This Row],[Data da Competência]]=TbRegistroEntradas[[#This Row],[Data do Caixa Previsto]],"Vista","Prazo")</f>
        <v>Prazo</v>
      </c>
      <c r="Q1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78</v>
      </c>
    </row>
    <row r="11" spans="2:17" ht="20.100000000000001" customHeight="1" x14ac:dyDescent="0.25">
      <c r="B11" s="11">
        <v>43004</v>
      </c>
      <c r="C11" s="11">
        <v>42980</v>
      </c>
      <c r="D11" s="11">
        <v>43004</v>
      </c>
      <c r="E11" t="s">
        <v>24</v>
      </c>
      <c r="F11" t="s">
        <v>34</v>
      </c>
      <c r="G11" t="s">
        <v>66</v>
      </c>
      <c r="H11" s="114">
        <v>4268</v>
      </c>
      <c r="I11">
        <f>IF(TbRegistroEntradas[[#This Row],[Data do Caixa Realizado]]="",0,MONTH(TbRegistroEntradas[[#This Row],[Data do Caixa Realizado]]))</f>
        <v>9</v>
      </c>
      <c r="J11">
        <f>IF(TbRegistroEntradas[[#This Row],[Data do Caixa Realizado]]="",0,YEAR(TbRegistroEntradas[[#This Row],[Data do Caixa Realizado]]))</f>
        <v>2017</v>
      </c>
      <c r="K11">
        <f>IF(TbRegistroEntradas[[#This Row],[Data da Competência]]="",0,MONTH(TbRegistroEntradas[[#This Row],[Data da Competência]]))</f>
        <v>9</v>
      </c>
      <c r="L11">
        <f>IF(TbRegistroEntradas[[#This Row],[Data da Competência]]="",0,YEAR(TbRegistroEntradas[[#This Row],[Data da Competência]]))</f>
        <v>2017</v>
      </c>
      <c r="M11">
        <f>IF(TbRegistroEntradas[[#This Row],[Data do Caixa Previsto]]="",0,MONTH(TbRegistroEntradas[[#This Row],[Data do Caixa Previsto]]))</f>
        <v>9</v>
      </c>
      <c r="N11">
        <f>IF(TbRegistroEntradas[[#This Row],[Data do Caixa Previsto]]="",0,YEAR(TbRegistroEntradas[[#This Row],[Data do Caixa Previsto]]))</f>
        <v>2017</v>
      </c>
      <c r="O11" t="str">
        <f ca="1">IF(AND(TbRegistroEntradas[[#This Row],[Data do Caixa Previsto]]&lt;TODAY(),TbRegistroEntradas[[#This Row],[Data do Caixa Realizado]]=""),"Vencida","Não Vencida")</f>
        <v>Não Vencida</v>
      </c>
      <c r="P11" t="str">
        <f>IF(TbRegistroEntradas[[#This Row],[Data da Competência]]=TbRegistroEntradas[[#This Row],[Data do Caixa Previsto]],"Vista","Prazo")</f>
        <v>Prazo</v>
      </c>
      <c r="Q1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2" spans="2:17" ht="20.100000000000001" customHeight="1" x14ac:dyDescent="0.25">
      <c r="B12" s="11">
        <v>43015</v>
      </c>
      <c r="C12" s="11">
        <v>42984</v>
      </c>
      <c r="D12" s="11">
        <v>43015</v>
      </c>
      <c r="E12" t="s">
        <v>24</v>
      </c>
      <c r="F12" t="s">
        <v>34</v>
      </c>
      <c r="G12" t="s">
        <v>67</v>
      </c>
      <c r="H12" s="114">
        <v>3761</v>
      </c>
      <c r="I12">
        <f>IF(TbRegistroEntradas[[#This Row],[Data do Caixa Realizado]]="",0,MONTH(TbRegistroEntradas[[#This Row],[Data do Caixa Realizado]]))</f>
        <v>10</v>
      </c>
      <c r="J12">
        <f>IF(TbRegistroEntradas[[#This Row],[Data do Caixa Realizado]]="",0,YEAR(TbRegistroEntradas[[#This Row],[Data do Caixa Realizado]]))</f>
        <v>2017</v>
      </c>
      <c r="K12">
        <f>IF(TbRegistroEntradas[[#This Row],[Data da Competência]]="",0,MONTH(TbRegistroEntradas[[#This Row],[Data da Competência]]))</f>
        <v>9</v>
      </c>
      <c r="L12">
        <f>IF(TbRegistroEntradas[[#This Row],[Data da Competência]]="",0,YEAR(TbRegistroEntradas[[#This Row],[Data da Competência]]))</f>
        <v>2017</v>
      </c>
      <c r="M12">
        <f>IF(TbRegistroEntradas[[#This Row],[Data do Caixa Previsto]]="",0,MONTH(TbRegistroEntradas[[#This Row],[Data do Caixa Previsto]]))</f>
        <v>10</v>
      </c>
      <c r="N12">
        <f>IF(TbRegistroEntradas[[#This Row],[Data do Caixa Previsto]]="",0,YEAR(TbRegistroEntradas[[#This Row],[Data do Caixa Previsto]]))</f>
        <v>2017</v>
      </c>
      <c r="O12" t="str">
        <f ca="1">IF(AND(TbRegistroEntradas[[#This Row],[Data do Caixa Previsto]]&lt;TODAY(),TbRegistroEntradas[[#This Row],[Data do Caixa Realizado]]=""),"Vencida","Não Vencida")</f>
        <v>Não Vencida</v>
      </c>
      <c r="P12" t="str">
        <f>IF(TbRegistroEntradas[[#This Row],[Data da Competência]]=TbRegistroEntradas[[#This Row],[Data do Caixa Previsto]],"Vista","Prazo")</f>
        <v>Prazo</v>
      </c>
      <c r="Q1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3" spans="2:17" ht="20.100000000000001" customHeight="1" x14ac:dyDescent="0.25">
      <c r="B13" s="11" t="s">
        <v>68</v>
      </c>
      <c r="C13" s="11">
        <v>42988</v>
      </c>
      <c r="D13" s="11">
        <v>43013</v>
      </c>
      <c r="E13" t="s">
        <v>24</v>
      </c>
      <c r="F13" t="s">
        <v>34</v>
      </c>
      <c r="G13" t="s">
        <v>69</v>
      </c>
      <c r="H13" s="114">
        <v>4983</v>
      </c>
      <c r="I13">
        <f>IF(TbRegistroEntradas[[#This Row],[Data do Caixa Realizado]]="",0,MONTH(TbRegistroEntradas[[#This Row],[Data do Caixa Realizado]]))</f>
        <v>0</v>
      </c>
      <c r="J13">
        <f>IF(TbRegistroEntradas[[#This Row],[Data do Caixa Realizado]]="",0,YEAR(TbRegistroEntradas[[#This Row],[Data do Caixa Realizado]]))</f>
        <v>0</v>
      </c>
      <c r="K13">
        <f>IF(TbRegistroEntradas[[#This Row],[Data da Competência]]="",0,MONTH(TbRegistroEntradas[[#This Row],[Data da Competência]]))</f>
        <v>9</v>
      </c>
      <c r="L13">
        <f>IF(TbRegistroEntradas[[#This Row],[Data da Competência]]="",0,YEAR(TbRegistroEntradas[[#This Row],[Data da Competência]]))</f>
        <v>2017</v>
      </c>
      <c r="M13">
        <f>IF(TbRegistroEntradas[[#This Row],[Data do Caixa Previsto]]="",0,MONTH(TbRegistroEntradas[[#This Row],[Data do Caixa Previsto]]))</f>
        <v>10</v>
      </c>
      <c r="N13">
        <f>IF(TbRegistroEntradas[[#This Row],[Data do Caixa Previsto]]="",0,YEAR(TbRegistroEntradas[[#This Row],[Data do Caixa Previsto]]))</f>
        <v>2017</v>
      </c>
      <c r="O13" t="str">
        <f ca="1">IF(AND(TbRegistroEntradas[[#This Row],[Data do Caixa Previsto]]&lt;TODAY(),TbRegistroEntradas[[#This Row],[Data do Caixa Realizado]]=""),"Vencida","Não Vencida")</f>
        <v>Vencida</v>
      </c>
      <c r="P13" t="str">
        <f>IF(TbRegistroEntradas[[#This Row],[Data da Competência]]=TbRegistroEntradas[[#This Row],[Data do Caixa Previsto]],"Vista","Prazo")</f>
        <v>Prazo</v>
      </c>
      <c r="Q1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2340</v>
      </c>
    </row>
    <row r="14" spans="2:17" ht="20.100000000000001" customHeight="1" x14ac:dyDescent="0.25">
      <c r="B14" s="11">
        <v>42997</v>
      </c>
      <c r="C14" s="11">
        <v>42990</v>
      </c>
      <c r="D14" s="11">
        <v>42997</v>
      </c>
      <c r="E14" t="s">
        <v>24</v>
      </c>
      <c r="F14" t="s">
        <v>31</v>
      </c>
      <c r="G14" t="s">
        <v>70</v>
      </c>
      <c r="H14" s="114">
        <v>2502</v>
      </c>
      <c r="I14">
        <f>IF(TbRegistroEntradas[[#This Row],[Data do Caixa Realizado]]="",0,MONTH(TbRegistroEntradas[[#This Row],[Data do Caixa Realizado]]))</f>
        <v>9</v>
      </c>
      <c r="J14">
        <f>IF(TbRegistroEntradas[[#This Row],[Data do Caixa Realizado]]="",0,YEAR(TbRegistroEntradas[[#This Row],[Data do Caixa Realizado]]))</f>
        <v>2017</v>
      </c>
      <c r="K14">
        <f>IF(TbRegistroEntradas[[#This Row],[Data da Competência]]="",0,MONTH(TbRegistroEntradas[[#This Row],[Data da Competência]]))</f>
        <v>9</v>
      </c>
      <c r="L14">
        <f>IF(TbRegistroEntradas[[#This Row],[Data da Competência]]="",0,YEAR(TbRegistroEntradas[[#This Row],[Data da Competência]]))</f>
        <v>2017</v>
      </c>
      <c r="M14">
        <f>IF(TbRegistroEntradas[[#This Row],[Data do Caixa Previsto]]="",0,MONTH(TbRegistroEntradas[[#This Row],[Data do Caixa Previsto]]))</f>
        <v>9</v>
      </c>
      <c r="N14">
        <f>IF(TbRegistroEntradas[[#This Row],[Data do Caixa Previsto]]="",0,YEAR(TbRegistroEntradas[[#This Row],[Data do Caixa Previsto]]))</f>
        <v>2017</v>
      </c>
      <c r="O14" t="str">
        <f ca="1">IF(AND(TbRegistroEntradas[[#This Row],[Data do Caixa Previsto]]&lt;TODAY(),TbRegistroEntradas[[#This Row],[Data do Caixa Realizado]]=""),"Vencida","Não Vencida")</f>
        <v>Não Vencida</v>
      </c>
      <c r="P14" t="str">
        <f>IF(TbRegistroEntradas[[#This Row],[Data da Competência]]=TbRegistroEntradas[[#This Row],[Data do Caixa Previsto]],"Vista","Prazo")</f>
        <v>Prazo</v>
      </c>
      <c r="Q1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5" spans="2:17" ht="20.100000000000001" customHeight="1" x14ac:dyDescent="0.25">
      <c r="B15" s="11">
        <v>43002</v>
      </c>
      <c r="C15" s="11">
        <v>42994</v>
      </c>
      <c r="D15" s="11">
        <v>43002</v>
      </c>
      <c r="E15" t="s">
        <v>24</v>
      </c>
      <c r="F15" t="s">
        <v>34</v>
      </c>
      <c r="G15" t="s">
        <v>71</v>
      </c>
      <c r="H15" s="114">
        <v>2337</v>
      </c>
      <c r="I15">
        <f>IF(TbRegistroEntradas[[#This Row],[Data do Caixa Realizado]]="",0,MONTH(TbRegistroEntradas[[#This Row],[Data do Caixa Realizado]]))</f>
        <v>9</v>
      </c>
      <c r="J15">
        <f>IF(TbRegistroEntradas[[#This Row],[Data do Caixa Realizado]]="",0,YEAR(TbRegistroEntradas[[#This Row],[Data do Caixa Realizado]]))</f>
        <v>2017</v>
      </c>
      <c r="K15">
        <f>IF(TbRegistroEntradas[[#This Row],[Data da Competência]]="",0,MONTH(TbRegistroEntradas[[#This Row],[Data da Competência]]))</f>
        <v>9</v>
      </c>
      <c r="L15">
        <f>IF(TbRegistroEntradas[[#This Row],[Data da Competência]]="",0,YEAR(TbRegistroEntradas[[#This Row],[Data da Competência]]))</f>
        <v>2017</v>
      </c>
      <c r="M15">
        <f>IF(TbRegistroEntradas[[#This Row],[Data do Caixa Previsto]]="",0,MONTH(TbRegistroEntradas[[#This Row],[Data do Caixa Previsto]]))</f>
        <v>9</v>
      </c>
      <c r="N15">
        <f>IF(TbRegistroEntradas[[#This Row],[Data do Caixa Previsto]]="",0,YEAR(TbRegistroEntradas[[#This Row],[Data do Caixa Previsto]]))</f>
        <v>2017</v>
      </c>
      <c r="O15" t="str">
        <f ca="1">IF(AND(TbRegistroEntradas[[#This Row],[Data do Caixa Previsto]]&lt;TODAY(),TbRegistroEntradas[[#This Row],[Data do Caixa Realizado]]=""),"Vencida","Não Vencida")</f>
        <v>Não Vencida</v>
      </c>
      <c r="P15" t="str">
        <f>IF(TbRegistroEntradas[[#This Row],[Data da Competência]]=TbRegistroEntradas[[#This Row],[Data do Caixa Previsto]],"Vista","Prazo")</f>
        <v>Prazo</v>
      </c>
      <c r="Q1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6" spans="2:17" ht="20.100000000000001" customHeight="1" x14ac:dyDescent="0.25">
      <c r="B16" s="11">
        <v>43001</v>
      </c>
      <c r="C16" s="11">
        <v>43001</v>
      </c>
      <c r="D16" s="11">
        <v>43001</v>
      </c>
      <c r="E16" t="s">
        <v>24</v>
      </c>
      <c r="F16" t="s">
        <v>33</v>
      </c>
      <c r="G16" t="s">
        <v>72</v>
      </c>
      <c r="H16" s="114">
        <v>3125</v>
      </c>
      <c r="I16">
        <f>IF(TbRegistroEntradas[[#This Row],[Data do Caixa Realizado]]="",0,MONTH(TbRegistroEntradas[[#This Row],[Data do Caixa Realizado]]))</f>
        <v>9</v>
      </c>
      <c r="J16">
        <f>IF(TbRegistroEntradas[[#This Row],[Data do Caixa Realizado]]="",0,YEAR(TbRegistroEntradas[[#This Row],[Data do Caixa Realizado]]))</f>
        <v>2017</v>
      </c>
      <c r="K16">
        <f>IF(TbRegistroEntradas[[#This Row],[Data da Competência]]="",0,MONTH(TbRegistroEntradas[[#This Row],[Data da Competência]]))</f>
        <v>9</v>
      </c>
      <c r="L16">
        <f>IF(TbRegistroEntradas[[#This Row],[Data da Competência]]="",0,YEAR(TbRegistroEntradas[[#This Row],[Data da Competência]]))</f>
        <v>2017</v>
      </c>
      <c r="M16">
        <f>IF(TbRegistroEntradas[[#This Row],[Data do Caixa Previsto]]="",0,MONTH(TbRegistroEntradas[[#This Row],[Data do Caixa Previsto]]))</f>
        <v>9</v>
      </c>
      <c r="N16">
        <f>IF(TbRegistroEntradas[[#This Row],[Data do Caixa Previsto]]="",0,YEAR(TbRegistroEntradas[[#This Row],[Data do Caixa Previsto]]))</f>
        <v>2017</v>
      </c>
      <c r="O16" t="str">
        <f ca="1">IF(AND(TbRegistroEntradas[[#This Row],[Data do Caixa Previsto]]&lt;TODAY(),TbRegistroEntradas[[#This Row],[Data do Caixa Realizado]]=""),"Vencida","Não Vencida")</f>
        <v>Não Vencida</v>
      </c>
      <c r="P16" t="str">
        <f>IF(TbRegistroEntradas[[#This Row],[Data da Competência]]=TbRegistroEntradas[[#This Row],[Data do Caixa Previsto]],"Vista","Prazo")</f>
        <v>Vista</v>
      </c>
      <c r="Q1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7" spans="2:17" ht="20.100000000000001" customHeight="1" x14ac:dyDescent="0.25">
      <c r="B17" s="11">
        <v>43056</v>
      </c>
      <c r="C17" s="11">
        <v>43004</v>
      </c>
      <c r="D17" s="11">
        <v>43056</v>
      </c>
      <c r="E17" t="s">
        <v>24</v>
      </c>
      <c r="F17" t="s">
        <v>34</v>
      </c>
      <c r="G17" t="s">
        <v>73</v>
      </c>
      <c r="H17" s="114">
        <v>1201</v>
      </c>
      <c r="I17">
        <f>IF(TbRegistroEntradas[[#This Row],[Data do Caixa Realizado]]="",0,MONTH(TbRegistroEntradas[[#This Row],[Data do Caixa Realizado]]))</f>
        <v>11</v>
      </c>
      <c r="J17">
        <f>IF(TbRegistroEntradas[[#This Row],[Data do Caixa Realizado]]="",0,YEAR(TbRegistroEntradas[[#This Row],[Data do Caixa Realizado]]))</f>
        <v>2017</v>
      </c>
      <c r="K17">
        <f>IF(TbRegistroEntradas[[#This Row],[Data da Competência]]="",0,MONTH(TbRegistroEntradas[[#This Row],[Data da Competência]]))</f>
        <v>9</v>
      </c>
      <c r="L17">
        <f>IF(TbRegistroEntradas[[#This Row],[Data da Competência]]="",0,YEAR(TbRegistroEntradas[[#This Row],[Data da Competência]]))</f>
        <v>2017</v>
      </c>
      <c r="M17">
        <f>IF(TbRegistroEntradas[[#This Row],[Data do Caixa Previsto]]="",0,MONTH(TbRegistroEntradas[[#This Row],[Data do Caixa Previsto]]))</f>
        <v>11</v>
      </c>
      <c r="N17">
        <f>IF(TbRegistroEntradas[[#This Row],[Data do Caixa Previsto]]="",0,YEAR(TbRegistroEntradas[[#This Row],[Data do Caixa Previsto]]))</f>
        <v>2017</v>
      </c>
      <c r="O17" t="str">
        <f ca="1">IF(AND(TbRegistroEntradas[[#This Row],[Data do Caixa Previsto]]&lt;TODAY(),TbRegistroEntradas[[#This Row],[Data do Caixa Realizado]]=""),"Vencida","Não Vencida")</f>
        <v>Não Vencida</v>
      </c>
      <c r="P17" t="str">
        <f>IF(TbRegistroEntradas[[#This Row],[Data da Competência]]=TbRegistroEntradas[[#This Row],[Data do Caixa Previsto]],"Vista","Prazo")</f>
        <v>Prazo</v>
      </c>
      <c r="Q1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8" spans="2:17" x14ac:dyDescent="0.25">
      <c r="B18" s="11">
        <v>43018</v>
      </c>
      <c r="C18" s="11">
        <v>43005</v>
      </c>
      <c r="D18" s="11">
        <v>43018</v>
      </c>
      <c r="E18" t="s">
        <v>24</v>
      </c>
      <c r="F18" t="s">
        <v>32</v>
      </c>
      <c r="G18" t="s">
        <v>74</v>
      </c>
      <c r="H18" s="114">
        <v>4380</v>
      </c>
      <c r="I18">
        <f>IF(TbRegistroEntradas[[#This Row],[Data do Caixa Realizado]]="",0,MONTH(TbRegistroEntradas[[#This Row],[Data do Caixa Realizado]]))</f>
        <v>10</v>
      </c>
      <c r="J18">
        <f>IF(TbRegistroEntradas[[#This Row],[Data do Caixa Realizado]]="",0,YEAR(TbRegistroEntradas[[#This Row],[Data do Caixa Realizado]]))</f>
        <v>2017</v>
      </c>
      <c r="K18">
        <f>IF(TbRegistroEntradas[[#This Row],[Data da Competência]]="",0,MONTH(TbRegistroEntradas[[#This Row],[Data da Competência]]))</f>
        <v>9</v>
      </c>
      <c r="L18">
        <f>IF(TbRegistroEntradas[[#This Row],[Data da Competência]]="",0,YEAR(TbRegistroEntradas[[#This Row],[Data da Competência]]))</f>
        <v>2017</v>
      </c>
      <c r="M18">
        <f>IF(TbRegistroEntradas[[#This Row],[Data do Caixa Previsto]]="",0,MONTH(TbRegistroEntradas[[#This Row],[Data do Caixa Previsto]]))</f>
        <v>10</v>
      </c>
      <c r="N18">
        <f>IF(TbRegistroEntradas[[#This Row],[Data do Caixa Previsto]]="",0,YEAR(TbRegistroEntradas[[#This Row],[Data do Caixa Previsto]]))</f>
        <v>2017</v>
      </c>
      <c r="O18" t="str">
        <f ca="1">IF(AND(TbRegistroEntradas[[#This Row],[Data do Caixa Previsto]]&lt;TODAY(),TbRegistroEntradas[[#This Row],[Data do Caixa Realizado]]=""),"Vencida","Não Vencida")</f>
        <v>Não Vencida</v>
      </c>
      <c r="P18" t="str">
        <f>IF(TbRegistroEntradas[[#This Row],[Data da Competência]]=TbRegistroEntradas[[#This Row],[Data do Caixa Previsto]],"Vista","Prazo")</f>
        <v>Prazo</v>
      </c>
      <c r="Q1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9" spans="2:17" x14ac:dyDescent="0.25">
      <c r="B19" s="11">
        <v>43019</v>
      </c>
      <c r="C19" s="11">
        <v>43008</v>
      </c>
      <c r="D19" s="11">
        <v>43019</v>
      </c>
      <c r="E19" t="s">
        <v>24</v>
      </c>
      <c r="F19" t="s">
        <v>33</v>
      </c>
      <c r="G19" t="s">
        <v>75</v>
      </c>
      <c r="H19" s="114">
        <v>919</v>
      </c>
      <c r="I19">
        <f>IF(TbRegistroEntradas[[#This Row],[Data do Caixa Realizado]]="",0,MONTH(TbRegistroEntradas[[#This Row],[Data do Caixa Realizado]]))</f>
        <v>10</v>
      </c>
      <c r="J19">
        <f>IF(TbRegistroEntradas[[#This Row],[Data do Caixa Realizado]]="",0,YEAR(TbRegistroEntradas[[#This Row],[Data do Caixa Realizado]]))</f>
        <v>2017</v>
      </c>
      <c r="K19">
        <f>IF(TbRegistroEntradas[[#This Row],[Data da Competência]]="",0,MONTH(TbRegistroEntradas[[#This Row],[Data da Competência]]))</f>
        <v>9</v>
      </c>
      <c r="L19">
        <f>IF(TbRegistroEntradas[[#This Row],[Data da Competência]]="",0,YEAR(TbRegistroEntradas[[#This Row],[Data da Competência]]))</f>
        <v>2017</v>
      </c>
      <c r="M19">
        <f>IF(TbRegistroEntradas[[#This Row],[Data do Caixa Previsto]]="",0,MONTH(TbRegistroEntradas[[#This Row],[Data do Caixa Previsto]]))</f>
        <v>10</v>
      </c>
      <c r="N19">
        <f>IF(TbRegistroEntradas[[#This Row],[Data do Caixa Previsto]]="",0,YEAR(TbRegistroEntradas[[#This Row],[Data do Caixa Previsto]]))</f>
        <v>2017</v>
      </c>
      <c r="O19" t="str">
        <f ca="1">IF(AND(TbRegistroEntradas[[#This Row],[Data do Caixa Previsto]]&lt;TODAY(),TbRegistroEntradas[[#This Row],[Data do Caixa Realizado]]=""),"Vencida","Não Vencida")</f>
        <v>Não Vencida</v>
      </c>
      <c r="P19" t="str">
        <f>IF(TbRegistroEntradas[[#This Row],[Data da Competência]]=TbRegistroEntradas[[#This Row],[Data do Caixa Previsto]],"Vista","Prazo")</f>
        <v>Prazo</v>
      </c>
      <c r="Q1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0" spans="2:17" x14ac:dyDescent="0.25">
      <c r="B20" s="11">
        <v>43076</v>
      </c>
      <c r="C20" s="11">
        <v>43012</v>
      </c>
      <c r="D20" s="11">
        <v>43025</v>
      </c>
      <c r="E20" t="s">
        <v>24</v>
      </c>
      <c r="F20" t="s">
        <v>35</v>
      </c>
      <c r="G20" t="s">
        <v>76</v>
      </c>
      <c r="H20" s="114">
        <v>4590</v>
      </c>
      <c r="I20">
        <f>IF(TbRegistroEntradas[[#This Row],[Data do Caixa Realizado]]="",0,MONTH(TbRegistroEntradas[[#This Row],[Data do Caixa Realizado]]))</f>
        <v>12</v>
      </c>
      <c r="J20">
        <f>IF(TbRegistroEntradas[[#This Row],[Data do Caixa Realizado]]="",0,YEAR(TbRegistroEntradas[[#This Row],[Data do Caixa Realizado]]))</f>
        <v>2017</v>
      </c>
      <c r="K20">
        <f>IF(TbRegistroEntradas[[#This Row],[Data da Competência]]="",0,MONTH(TbRegistroEntradas[[#This Row],[Data da Competência]]))</f>
        <v>10</v>
      </c>
      <c r="L20">
        <f>IF(TbRegistroEntradas[[#This Row],[Data da Competência]]="",0,YEAR(TbRegistroEntradas[[#This Row],[Data da Competência]]))</f>
        <v>2017</v>
      </c>
      <c r="M20">
        <f>IF(TbRegistroEntradas[[#This Row],[Data do Caixa Previsto]]="",0,MONTH(TbRegistroEntradas[[#This Row],[Data do Caixa Previsto]]))</f>
        <v>10</v>
      </c>
      <c r="N20">
        <f>IF(TbRegistroEntradas[[#This Row],[Data do Caixa Previsto]]="",0,YEAR(TbRegistroEntradas[[#This Row],[Data do Caixa Previsto]]))</f>
        <v>2017</v>
      </c>
      <c r="O20" t="str">
        <f ca="1">IF(AND(TbRegistroEntradas[[#This Row],[Data do Caixa Previsto]]&lt;TODAY(),TbRegistroEntradas[[#This Row],[Data do Caixa Realizado]]=""),"Vencida","Não Vencida")</f>
        <v>Não Vencida</v>
      </c>
      <c r="P20" t="str">
        <f>IF(TbRegistroEntradas[[#This Row],[Data da Competência]]=TbRegistroEntradas[[#This Row],[Data do Caixa Previsto]],"Vista","Prazo")</f>
        <v>Prazo</v>
      </c>
      <c r="Q2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51</v>
      </c>
    </row>
    <row r="21" spans="2:17" x14ac:dyDescent="0.25">
      <c r="B21" s="11">
        <v>43052</v>
      </c>
      <c r="C21" s="11">
        <v>43015</v>
      </c>
      <c r="D21" s="11">
        <v>43052</v>
      </c>
      <c r="E21" t="s">
        <v>24</v>
      </c>
      <c r="F21" t="s">
        <v>31</v>
      </c>
      <c r="G21" t="s">
        <v>77</v>
      </c>
      <c r="H21" s="114">
        <v>1958</v>
      </c>
      <c r="I21">
        <f>IF(TbRegistroEntradas[[#This Row],[Data do Caixa Realizado]]="",0,MONTH(TbRegistroEntradas[[#This Row],[Data do Caixa Realizado]]))</f>
        <v>11</v>
      </c>
      <c r="J21">
        <f>IF(TbRegistroEntradas[[#This Row],[Data do Caixa Realizado]]="",0,YEAR(TbRegistroEntradas[[#This Row],[Data do Caixa Realizado]]))</f>
        <v>2017</v>
      </c>
      <c r="K21">
        <f>IF(TbRegistroEntradas[[#This Row],[Data da Competência]]="",0,MONTH(TbRegistroEntradas[[#This Row],[Data da Competência]]))</f>
        <v>10</v>
      </c>
      <c r="L21">
        <f>IF(TbRegistroEntradas[[#This Row],[Data da Competência]]="",0,YEAR(TbRegistroEntradas[[#This Row],[Data da Competência]]))</f>
        <v>2017</v>
      </c>
      <c r="M21">
        <f>IF(TbRegistroEntradas[[#This Row],[Data do Caixa Previsto]]="",0,MONTH(TbRegistroEntradas[[#This Row],[Data do Caixa Previsto]]))</f>
        <v>11</v>
      </c>
      <c r="N21">
        <f>IF(TbRegistroEntradas[[#This Row],[Data do Caixa Previsto]]="",0,YEAR(TbRegistroEntradas[[#This Row],[Data do Caixa Previsto]]))</f>
        <v>2017</v>
      </c>
      <c r="O21" t="str">
        <f ca="1">IF(AND(TbRegistroEntradas[[#This Row],[Data do Caixa Previsto]]&lt;TODAY(),TbRegistroEntradas[[#This Row],[Data do Caixa Realizado]]=""),"Vencida","Não Vencida")</f>
        <v>Não Vencida</v>
      </c>
      <c r="P21" t="str">
        <f>IF(TbRegistroEntradas[[#This Row],[Data da Competência]]=TbRegistroEntradas[[#This Row],[Data do Caixa Previsto]],"Vista","Prazo")</f>
        <v>Prazo</v>
      </c>
      <c r="Q2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2" spans="2:17" x14ac:dyDescent="0.25">
      <c r="B22" s="11">
        <v>43043</v>
      </c>
      <c r="C22" s="11">
        <v>43017</v>
      </c>
      <c r="D22" s="11">
        <v>43043</v>
      </c>
      <c r="E22" t="s">
        <v>24</v>
      </c>
      <c r="F22" t="s">
        <v>32</v>
      </c>
      <c r="G22" t="s">
        <v>78</v>
      </c>
      <c r="H22" s="114">
        <v>1171</v>
      </c>
      <c r="I22">
        <f>IF(TbRegistroEntradas[[#This Row],[Data do Caixa Realizado]]="",0,MONTH(TbRegistroEntradas[[#This Row],[Data do Caixa Realizado]]))</f>
        <v>11</v>
      </c>
      <c r="J22">
        <f>IF(TbRegistroEntradas[[#This Row],[Data do Caixa Realizado]]="",0,YEAR(TbRegistroEntradas[[#This Row],[Data do Caixa Realizado]]))</f>
        <v>2017</v>
      </c>
      <c r="K22">
        <f>IF(TbRegistroEntradas[[#This Row],[Data da Competência]]="",0,MONTH(TbRegistroEntradas[[#This Row],[Data da Competência]]))</f>
        <v>10</v>
      </c>
      <c r="L22">
        <f>IF(TbRegistroEntradas[[#This Row],[Data da Competência]]="",0,YEAR(TbRegistroEntradas[[#This Row],[Data da Competência]]))</f>
        <v>2017</v>
      </c>
      <c r="M22">
        <f>IF(TbRegistroEntradas[[#This Row],[Data do Caixa Previsto]]="",0,MONTH(TbRegistroEntradas[[#This Row],[Data do Caixa Previsto]]))</f>
        <v>11</v>
      </c>
      <c r="N22">
        <f>IF(TbRegistroEntradas[[#This Row],[Data do Caixa Previsto]]="",0,YEAR(TbRegistroEntradas[[#This Row],[Data do Caixa Previsto]]))</f>
        <v>2017</v>
      </c>
      <c r="O22" t="str">
        <f ca="1">IF(AND(TbRegistroEntradas[[#This Row],[Data do Caixa Previsto]]&lt;TODAY(),TbRegistroEntradas[[#This Row],[Data do Caixa Realizado]]=""),"Vencida","Não Vencida")</f>
        <v>Não Vencida</v>
      </c>
      <c r="P22" t="str">
        <f>IF(TbRegistroEntradas[[#This Row],[Data da Competência]]=TbRegistroEntradas[[#This Row],[Data do Caixa Previsto]],"Vista","Prazo")</f>
        <v>Prazo</v>
      </c>
      <c r="Q2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3" spans="2:17" x14ac:dyDescent="0.25">
      <c r="B23" s="11">
        <v>43060</v>
      </c>
      <c r="C23" s="11">
        <v>43019</v>
      </c>
      <c r="D23" s="11">
        <v>43060</v>
      </c>
      <c r="E23" t="s">
        <v>24</v>
      </c>
      <c r="F23" t="s">
        <v>34</v>
      </c>
      <c r="G23" t="s">
        <v>79</v>
      </c>
      <c r="H23" s="114">
        <v>2587</v>
      </c>
      <c r="I23">
        <f>IF(TbRegistroEntradas[[#This Row],[Data do Caixa Realizado]]="",0,MONTH(TbRegistroEntradas[[#This Row],[Data do Caixa Realizado]]))</f>
        <v>11</v>
      </c>
      <c r="J23">
        <f>IF(TbRegistroEntradas[[#This Row],[Data do Caixa Realizado]]="",0,YEAR(TbRegistroEntradas[[#This Row],[Data do Caixa Realizado]]))</f>
        <v>2017</v>
      </c>
      <c r="K23">
        <f>IF(TbRegistroEntradas[[#This Row],[Data da Competência]]="",0,MONTH(TbRegistroEntradas[[#This Row],[Data da Competência]]))</f>
        <v>10</v>
      </c>
      <c r="L23">
        <f>IF(TbRegistroEntradas[[#This Row],[Data da Competência]]="",0,YEAR(TbRegistroEntradas[[#This Row],[Data da Competência]]))</f>
        <v>2017</v>
      </c>
      <c r="M23">
        <f>IF(TbRegistroEntradas[[#This Row],[Data do Caixa Previsto]]="",0,MONTH(TbRegistroEntradas[[#This Row],[Data do Caixa Previsto]]))</f>
        <v>11</v>
      </c>
      <c r="N23">
        <f>IF(TbRegistroEntradas[[#This Row],[Data do Caixa Previsto]]="",0,YEAR(TbRegistroEntradas[[#This Row],[Data do Caixa Previsto]]))</f>
        <v>2017</v>
      </c>
      <c r="O23" t="str">
        <f ca="1">IF(AND(TbRegistroEntradas[[#This Row],[Data do Caixa Previsto]]&lt;TODAY(),TbRegistroEntradas[[#This Row],[Data do Caixa Realizado]]=""),"Vencida","Não Vencida")</f>
        <v>Não Vencida</v>
      </c>
      <c r="P23" t="str">
        <f>IF(TbRegistroEntradas[[#This Row],[Data da Competência]]=TbRegistroEntradas[[#This Row],[Data do Caixa Previsto]],"Vista","Prazo")</f>
        <v>Prazo</v>
      </c>
      <c r="Q2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4" spans="2:17" x14ac:dyDescent="0.25">
      <c r="B24" s="11" t="s">
        <v>68</v>
      </c>
      <c r="C24" s="11">
        <v>43023</v>
      </c>
      <c r="D24" s="11">
        <v>43045</v>
      </c>
      <c r="E24" t="s">
        <v>24</v>
      </c>
      <c r="F24" t="s">
        <v>34</v>
      </c>
      <c r="G24" t="s">
        <v>80</v>
      </c>
      <c r="H24" s="114">
        <v>3425</v>
      </c>
      <c r="I24">
        <f>IF(TbRegistroEntradas[[#This Row],[Data do Caixa Realizado]]="",0,MONTH(TbRegistroEntradas[[#This Row],[Data do Caixa Realizado]]))</f>
        <v>0</v>
      </c>
      <c r="J24">
        <f>IF(TbRegistroEntradas[[#This Row],[Data do Caixa Realizado]]="",0,YEAR(TbRegistroEntradas[[#This Row],[Data do Caixa Realizado]]))</f>
        <v>0</v>
      </c>
      <c r="K24">
        <f>IF(TbRegistroEntradas[[#This Row],[Data da Competência]]="",0,MONTH(TbRegistroEntradas[[#This Row],[Data da Competência]]))</f>
        <v>10</v>
      </c>
      <c r="L24">
        <f>IF(TbRegistroEntradas[[#This Row],[Data da Competência]]="",0,YEAR(TbRegistroEntradas[[#This Row],[Data da Competência]]))</f>
        <v>2017</v>
      </c>
      <c r="M24">
        <f>IF(TbRegistroEntradas[[#This Row],[Data do Caixa Previsto]]="",0,MONTH(TbRegistroEntradas[[#This Row],[Data do Caixa Previsto]]))</f>
        <v>11</v>
      </c>
      <c r="N24">
        <f>IF(TbRegistroEntradas[[#This Row],[Data do Caixa Previsto]]="",0,YEAR(TbRegistroEntradas[[#This Row],[Data do Caixa Previsto]]))</f>
        <v>2017</v>
      </c>
      <c r="O24" t="str">
        <f ca="1">IF(AND(TbRegistroEntradas[[#This Row],[Data do Caixa Previsto]]&lt;TODAY(),TbRegistroEntradas[[#This Row],[Data do Caixa Realizado]]=""),"Vencida","Não Vencida")</f>
        <v>Vencida</v>
      </c>
      <c r="P24" t="str">
        <f>IF(TbRegistroEntradas[[#This Row],[Data da Competência]]=TbRegistroEntradas[[#This Row],[Data do Caixa Previsto]],"Vista","Prazo")</f>
        <v>Prazo</v>
      </c>
      <c r="Q2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2308</v>
      </c>
    </row>
    <row r="25" spans="2:17" x14ac:dyDescent="0.25">
      <c r="B25" s="11">
        <v>43113</v>
      </c>
      <c r="C25" s="11">
        <v>43026</v>
      </c>
      <c r="D25" s="11">
        <v>43026</v>
      </c>
      <c r="E25" t="s">
        <v>24</v>
      </c>
      <c r="F25" t="s">
        <v>35</v>
      </c>
      <c r="G25" t="s">
        <v>81</v>
      </c>
      <c r="H25" s="114">
        <v>4454</v>
      </c>
      <c r="I25">
        <f>IF(TbRegistroEntradas[[#This Row],[Data do Caixa Realizado]]="",0,MONTH(TbRegistroEntradas[[#This Row],[Data do Caixa Realizado]]))</f>
        <v>1</v>
      </c>
      <c r="J25">
        <f>IF(TbRegistroEntradas[[#This Row],[Data do Caixa Realizado]]="",0,YEAR(TbRegistroEntradas[[#This Row],[Data do Caixa Realizado]]))</f>
        <v>2018</v>
      </c>
      <c r="K25">
        <f>IF(TbRegistroEntradas[[#This Row],[Data da Competência]]="",0,MONTH(TbRegistroEntradas[[#This Row],[Data da Competência]]))</f>
        <v>10</v>
      </c>
      <c r="L25">
        <f>IF(TbRegistroEntradas[[#This Row],[Data da Competência]]="",0,YEAR(TbRegistroEntradas[[#This Row],[Data da Competência]]))</f>
        <v>2017</v>
      </c>
      <c r="M25">
        <f>IF(TbRegistroEntradas[[#This Row],[Data do Caixa Previsto]]="",0,MONTH(TbRegistroEntradas[[#This Row],[Data do Caixa Previsto]]))</f>
        <v>10</v>
      </c>
      <c r="N25">
        <f>IF(TbRegistroEntradas[[#This Row],[Data do Caixa Previsto]]="",0,YEAR(TbRegistroEntradas[[#This Row],[Data do Caixa Previsto]]))</f>
        <v>2017</v>
      </c>
      <c r="O25" t="str">
        <f ca="1">IF(AND(TbRegistroEntradas[[#This Row],[Data do Caixa Previsto]]&lt;TODAY(),TbRegistroEntradas[[#This Row],[Data do Caixa Realizado]]=""),"Vencida","Não Vencida")</f>
        <v>Não Vencida</v>
      </c>
      <c r="P25" t="str">
        <f>IF(TbRegistroEntradas[[#This Row],[Data da Competência]]=TbRegistroEntradas[[#This Row],[Data do Caixa Previsto]],"Vista","Prazo")</f>
        <v>Vista</v>
      </c>
      <c r="Q2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87</v>
      </c>
    </row>
    <row r="26" spans="2:17" x14ac:dyDescent="0.25">
      <c r="B26" s="11">
        <v>43030</v>
      </c>
      <c r="C26" s="11">
        <v>43030</v>
      </c>
      <c r="D26" s="11">
        <v>43030</v>
      </c>
      <c r="E26" t="s">
        <v>24</v>
      </c>
      <c r="F26" t="s">
        <v>32</v>
      </c>
      <c r="G26" t="s">
        <v>82</v>
      </c>
      <c r="H26" s="114">
        <v>2134</v>
      </c>
      <c r="I26">
        <f>IF(TbRegistroEntradas[[#This Row],[Data do Caixa Realizado]]="",0,MONTH(TbRegistroEntradas[[#This Row],[Data do Caixa Realizado]]))</f>
        <v>10</v>
      </c>
      <c r="J26">
        <f>IF(TbRegistroEntradas[[#This Row],[Data do Caixa Realizado]]="",0,YEAR(TbRegistroEntradas[[#This Row],[Data do Caixa Realizado]]))</f>
        <v>2017</v>
      </c>
      <c r="K26">
        <f>IF(TbRegistroEntradas[[#This Row],[Data da Competência]]="",0,MONTH(TbRegistroEntradas[[#This Row],[Data da Competência]]))</f>
        <v>10</v>
      </c>
      <c r="L26">
        <f>IF(TbRegistroEntradas[[#This Row],[Data da Competência]]="",0,YEAR(TbRegistroEntradas[[#This Row],[Data da Competência]]))</f>
        <v>2017</v>
      </c>
      <c r="M26">
        <f>IF(TbRegistroEntradas[[#This Row],[Data do Caixa Previsto]]="",0,MONTH(TbRegistroEntradas[[#This Row],[Data do Caixa Previsto]]))</f>
        <v>10</v>
      </c>
      <c r="N26">
        <f>IF(TbRegistroEntradas[[#This Row],[Data do Caixa Previsto]]="",0,YEAR(TbRegistroEntradas[[#This Row],[Data do Caixa Previsto]]))</f>
        <v>2017</v>
      </c>
      <c r="O26" t="str">
        <f ca="1">IF(AND(TbRegistroEntradas[[#This Row],[Data do Caixa Previsto]]&lt;TODAY(),TbRegistroEntradas[[#This Row],[Data do Caixa Realizado]]=""),"Vencida","Não Vencida")</f>
        <v>Não Vencida</v>
      </c>
      <c r="P26" t="str">
        <f>IF(TbRegistroEntradas[[#This Row],[Data da Competência]]=TbRegistroEntradas[[#This Row],[Data do Caixa Previsto]],"Vista","Prazo")</f>
        <v>Vista</v>
      </c>
      <c r="Q2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7" spans="2:17" x14ac:dyDescent="0.25">
      <c r="B27" s="11">
        <v>43032</v>
      </c>
      <c r="C27" s="11">
        <v>43032</v>
      </c>
      <c r="D27" s="11">
        <v>43032</v>
      </c>
      <c r="E27" t="s">
        <v>24</v>
      </c>
      <c r="F27" t="s">
        <v>31</v>
      </c>
      <c r="G27" t="s">
        <v>83</v>
      </c>
      <c r="H27" s="114">
        <v>257</v>
      </c>
      <c r="I27">
        <f>IF(TbRegistroEntradas[[#This Row],[Data do Caixa Realizado]]="",0,MONTH(TbRegistroEntradas[[#This Row],[Data do Caixa Realizado]]))</f>
        <v>10</v>
      </c>
      <c r="J27">
        <f>IF(TbRegistroEntradas[[#This Row],[Data do Caixa Realizado]]="",0,YEAR(TbRegistroEntradas[[#This Row],[Data do Caixa Realizado]]))</f>
        <v>2017</v>
      </c>
      <c r="K27">
        <f>IF(TbRegistroEntradas[[#This Row],[Data da Competência]]="",0,MONTH(TbRegistroEntradas[[#This Row],[Data da Competência]]))</f>
        <v>10</v>
      </c>
      <c r="L27">
        <f>IF(TbRegistroEntradas[[#This Row],[Data da Competência]]="",0,YEAR(TbRegistroEntradas[[#This Row],[Data da Competência]]))</f>
        <v>2017</v>
      </c>
      <c r="M27">
        <f>IF(TbRegistroEntradas[[#This Row],[Data do Caixa Previsto]]="",0,MONTH(TbRegistroEntradas[[#This Row],[Data do Caixa Previsto]]))</f>
        <v>10</v>
      </c>
      <c r="N27">
        <f>IF(TbRegistroEntradas[[#This Row],[Data do Caixa Previsto]]="",0,YEAR(TbRegistroEntradas[[#This Row],[Data do Caixa Previsto]]))</f>
        <v>2017</v>
      </c>
      <c r="O27" t="str">
        <f ca="1">IF(AND(TbRegistroEntradas[[#This Row],[Data do Caixa Previsto]]&lt;TODAY(),TbRegistroEntradas[[#This Row],[Data do Caixa Realizado]]=""),"Vencida","Não Vencida")</f>
        <v>Não Vencida</v>
      </c>
      <c r="P27" t="str">
        <f>IF(TbRegistroEntradas[[#This Row],[Data da Competência]]=TbRegistroEntradas[[#This Row],[Data do Caixa Previsto]],"Vista","Prazo")</f>
        <v>Vista</v>
      </c>
      <c r="Q2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8" spans="2:17" x14ac:dyDescent="0.25">
      <c r="B28" s="11">
        <v>43122</v>
      </c>
      <c r="C28" s="11">
        <v>43032</v>
      </c>
      <c r="D28" s="11">
        <v>43068</v>
      </c>
      <c r="E28" t="s">
        <v>24</v>
      </c>
      <c r="F28" t="s">
        <v>33</v>
      </c>
      <c r="G28" t="s">
        <v>84</v>
      </c>
      <c r="H28" s="114">
        <v>2019</v>
      </c>
      <c r="I28">
        <f>IF(TbRegistroEntradas[[#This Row],[Data do Caixa Realizado]]="",0,MONTH(TbRegistroEntradas[[#This Row],[Data do Caixa Realizado]]))</f>
        <v>1</v>
      </c>
      <c r="J28">
        <f>IF(TbRegistroEntradas[[#This Row],[Data do Caixa Realizado]]="",0,YEAR(TbRegistroEntradas[[#This Row],[Data do Caixa Realizado]]))</f>
        <v>2018</v>
      </c>
      <c r="K28">
        <f>IF(TbRegistroEntradas[[#This Row],[Data da Competência]]="",0,MONTH(TbRegistroEntradas[[#This Row],[Data da Competência]]))</f>
        <v>10</v>
      </c>
      <c r="L28">
        <f>IF(TbRegistroEntradas[[#This Row],[Data da Competência]]="",0,YEAR(TbRegistroEntradas[[#This Row],[Data da Competência]]))</f>
        <v>2017</v>
      </c>
      <c r="M28">
        <f>IF(TbRegistroEntradas[[#This Row],[Data do Caixa Previsto]]="",0,MONTH(TbRegistroEntradas[[#This Row],[Data do Caixa Previsto]]))</f>
        <v>11</v>
      </c>
      <c r="N28">
        <f>IF(TbRegistroEntradas[[#This Row],[Data do Caixa Previsto]]="",0,YEAR(TbRegistroEntradas[[#This Row],[Data do Caixa Previsto]]))</f>
        <v>2017</v>
      </c>
      <c r="O28" t="str">
        <f ca="1">IF(AND(TbRegistroEntradas[[#This Row],[Data do Caixa Previsto]]&lt;TODAY(),TbRegistroEntradas[[#This Row],[Data do Caixa Realizado]]=""),"Vencida","Não Vencida")</f>
        <v>Não Vencida</v>
      </c>
      <c r="P28" t="str">
        <f>IF(TbRegistroEntradas[[#This Row],[Data da Competência]]=TbRegistroEntradas[[#This Row],[Data do Caixa Previsto]],"Vista","Prazo")</f>
        <v>Prazo</v>
      </c>
      <c r="Q2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54</v>
      </c>
    </row>
    <row r="29" spans="2:17" x14ac:dyDescent="0.25">
      <c r="B29" s="11">
        <v>43034</v>
      </c>
      <c r="C29" s="11">
        <v>43034</v>
      </c>
      <c r="D29" s="11">
        <v>43034</v>
      </c>
      <c r="E29" t="s">
        <v>24</v>
      </c>
      <c r="F29" t="s">
        <v>34</v>
      </c>
      <c r="G29" t="s">
        <v>85</v>
      </c>
      <c r="H29" s="114">
        <v>3696</v>
      </c>
      <c r="I29">
        <f>IF(TbRegistroEntradas[[#This Row],[Data do Caixa Realizado]]="",0,MONTH(TbRegistroEntradas[[#This Row],[Data do Caixa Realizado]]))</f>
        <v>10</v>
      </c>
      <c r="J29">
        <f>IF(TbRegistroEntradas[[#This Row],[Data do Caixa Realizado]]="",0,YEAR(TbRegistroEntradas[[#This Row],[Data do Caixa Realizado]]))</f>
        <v>2017</v>
      </c>
      <c r="K29">
        <f>IF(TbRegistroEntradas[[#This Row],[Data da Competência]]="",0,MONTH(TbRegistroEntradas[[#This Row],[Data da Competência]]))</f>
        <v>10</v>
      </c>
      <c r="L29">
        <f>IF(TbRegistroEntradas[[#This Row],[Data da Competência]]="",0,YEAR(TbRegistroEntradas[[#This Row],[Data da Competência]]))</f>
        <v>2017</v>
      </c>
      <c r="M29">
        <f>IF(TbRegistroEntradas[[#This Row],[Data do Caixa Previsto]]="",0,MONTH(TbRegistroEntradas[[#This Row],[Data do Caixa Previsto]]))</f>
        <v>10</v>
      </c>
      <c r="N29">
        <f>IF(TbRegistroEntradas[[#This Row],[Data do Caixa Previsto]]="",0,YEAR(TbRegistroEntradas[[#This Row],[Data do Caixa Previsto]]))</f>
        <v>2017</v>
      </c>
      <c r="O29" t="str">
        <f ca="1">IF(AND(TbRegistroEntradas[[#This Row],[Data do Caixa Previsto]]&lt;TODAY(),TbRegistroEntradas[[#This Row],[Data do Caixa Realizado]]=""),"Vencida","Não Vencida")</f>
        <v>Não Vencida</v>
      </c>
      <c r="P29" t="str">
        <f>IF(TbRegistroEntradas[[#This Row],[Data da Competência]]=TbRegistroEntradas[[#This Row],[Data do Caixa Previsto]],"Vista","Prazo")</f>
        <v>Vista</v>
      </c>
      <c r="Q2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30" spans="2:17" x14ac:dyDescent="0.25">
      <c r="B30" s="11">
        <v>43052</v>
      </c>
      <c r="C30" s="11">
        <v>43038</v>
      </c>
      <c r="D30" s="11">
        <v>43052</v>
      </c>
      <c r="E30" t="s">
        <v>24</v>
      </c>
      <c r="F30" t="s">
        <v>33</v>
      </c>
      <c r="G30" t="s">
        <v>86</v>
      </c>
      <c r="H30" s="114">
        <v>4446</v>
      </c>
      <c r="I30">
        <f>IF(TbRegistroEntradas[[#This Row],[Data do Caixa Realizado]]="",0,MONTH(TbRegistroEntradas[[#This Row],[Data do Caixa Realizado]]))</f>
        <v>11</v>
      </c>
      <c r="J30">
        <f>IF(TbRegistroEntradas[[#This Row],[Data do Caixa Realizado]]="",0,YEAR(TbRegistroEntradas[[#This Row],[Data do Caixa Realizado]]))</f>
        <v>2017</v>
      </c>
      <c r="K30">
        <f>IF(TbRegistroEntradas[[#This Row],[Data da Competência]]="",0,MONTH(TbRegistroEntradas[[#This Row],[Data da Competência]]))</f>
        <v>10</v>
      </c>
      <c r="L30">
        <f>IF(TbRegistroEntradas[[#This Row],[Data da Competência]]="",0,YEAR(TbRegistroEntradas[[#This Row],[Data da Competência]]))</f>
        <v>2017</v>
      </c>
      <c r="M30">
        <f>IF(TbRegistroEntradas[[#This Row],[Data do Caixa Previsto]]="",0,MONTH(TbRegistroEntradas[[#This Row],[Data do Caixa Previsto]]))</f>
        <v>11</v>
      </c>
      <c r="N30">
        <f>IF(TbRegistroEntradas[[#This Row],[Data do Caixa Previsto]]="",0,YEAR(TbRegistroEntradas[[#This Row],[Data do Caixa Previsto]]))</f>
        <v>2017</v>
      </c>
      <c r="O30" t="str">
        <f ca="1">IF(AND(TbRegistroEntradas[[#This Row],[Data do Caixa Previsto]]&lt;TODAY(),TbRegistroEntradas[[#This Row],[Data do Caixa Realizado]]=""),"Vencida","Não Vencida")</f>
        <v>Não Vencida</v>
      </c>
      <c r="P30" t="str">
        <f>IF(TbRegistroEntradas[[#This Row],[Data da Competência]]=TbRegistroEntradas[[#This Row],[Data do Caixa Previsto]],"Vista","Prazo")</f>
        <v>Prazo</v>
      </c>
      <c r="Q3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31" spans="2:17" x14ac:dyDescent="0.25">
      <c r="B31" s="11" t="s">
        <v>68</v>
      </c>
      <c r="C31" s="11">
        <v>43040</v>
      </c>
      <c r="D31" s="11">
        <v>43057</v>
      </c>
      <c r="E31" t="s">
        <v>24</v>
      </c>
      <c r="F31" t="s">
        <v>33</v>
      </c>
      <c r="G31" t="s">
        <v>87</v>
      </c>
      <c r="H31" s="114">
        <v>1445</v>
      </c>
      <c r="I31">
        <f>IF(TbRegistroEntradas[[#This Row],[Data do Caixa Realizado]]="",0,MONTH(TbRegistroEntradas[[#This Row],[Data do Caixa Realizado]]))</f>
        <v>0</v>
      </c>
      <c r="J31">
        <f>IF(TbRegistroEntradas[[#This Row],[Data do Caixa Realizado]]="",0,YEAR(TbRegistroEntradas[[#This Row],[Data do Caixa Realizado]]))</f>
        <v>0</v>
      </c>
      <c r="K31">
        <f>IF(TbRegistroEntradas[[#This Row],[Data da Competência]]="",0,MONTH(TbRegistroEntradas[[#This Row],[Data da Competência]]))</f>
        <v>11</v>
      </c>
      <c r="L31">
        <f>IF(TbRegistroEntradas[[#This Row],[Data da Competência]]="",0,YEAR(TbRegistroEntradas[[#This Row],[Data da Competência]]))</f>
        <v>2017</v>
      </c>
      <c r="M31">
        <f>IF(TbRegistroEntradas[[#This Row],[Data do Caixa Previsto]]="",0,MONTH(TbRegistroEntradas[[#This Row],[Data do Caixa Previsto]]))</f>
        <v>11</v>
      </c>
      <c r="N31">
        <f>IF(TbRegistroEntradas[[#This Row],[Data do Caixa Previsto]]="",0,YEAR(TbRegistroEntradas[[#This Row],[Data do Caixa Previsto]]))</f>
        <v>2017</v>
      </c>
      <c r="O31" t="str">
        <f ca="1">IF(AND(TbRegistroEntradas[[#This Row],[Data do Caixa Previsto]]&lt;TODAY(),TbRegistroEntradas[[#This Row],[Data do Caixa Realizado]]=""),"Vencida","Não Vencida")</f>
        <v>Vencida</v>
      </c>
      <c r="P31" t="str">
        <f>IF(TbRegistroEntradas[[#This Row],[Data da Competência]]=TbRegistroEntradas[[#This Row],[Data do Caixa Previsto]],"Vista","Prazo")</f>
        <v>Prazo</v>
      </c>
      <c r="Q3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2296</v>
      </c>
    </row>
    <row r="32" spans="2:17" x14ac:dyDescent="0.25">
      <c r="B32" s="11">
        <v>43117</v>
      </c>
      <c r="C32" s="11">
        <v>43043</v>
      </c>
      <c r="D32" s="11">
        <v>43068</v>
      </c>
      <c r="E32" t="s">
        <v>24</v>
      </c>
      <c r="F32" t="s">
        <v>32</v>
      </c>
      <c r="G32" t="s">
        <v>88</v>
      </c>
      <c r="H32" s="114">
        <v>3559</v>
      </c>
      <c r="I32">
        <f>IF(TbRegistroEntradas[[#This Row],[Data do Caixa Realizado]]="",0,MONTH(TbRegistroEntradas[[#This Row],[Data do Caixa Realizado]]))</f>
        <v>1</v>
      </c>
      <c r="J32">
        <f>IF(TbRegistroEntradas[[#This Row],[Data do Caixa Realizado]]="",0,YEAR(TbRegistroEntradas[[#This Row],[Data do Caixa Realizado]]))</f>
        <v>2018</v>
      </c>
      <c r="K32">
        <f>IF(TbRegistroEntradas[[#This Row],[Data da Competência]]="",0,MONTH(TbRegistroEntradas[[#This Row],[Data da Competência]]))</f>
        <v>11</v>
      </c>
      <c r="L32">
        <f>IF(TbRegistroEntradas[[#This Row],[Data da Competência]]="",0,YEAR(TbRegistroEntradas[[#This Row],[Data da Competência]]))</f>
        <v>2017</v>
      </c>
      <c r="M32">
        <f>IF(TbRegistroEntradas[[#This Row],[Data do Caixa Previsto]]="",0,MONTH(TbRegistroEntradas[[#This Row],[Data do Caixa Previsto]]))</f>
        <v>11</v>
      </c>
      <c r="N32">
        <f>IF(TbRegistroEntradas[[#This Row],[Data do Caixa Previsto]]="",0,YEAR(TbRegistroEntradas[[#This Row],[Data do Caixa Previsto]]))</f>
        <v>2017</v>
      </c>
      <c r="O32" t="str">
        <f ca="1">IF(AND(TbRegistroEntradas[[#This Row],[Data do Caixa Previsto]]&lt;TODAY(),TbRegistroEntradas[[#This Row],[Data do Caixa Realizado]]=""),"Vencida","Não Vencida")</f>
        <v>Não Vencida</v>
      </c>
      <c r="P32" t="str">
        <f>IF(TbRegistroEntradas[[#This Row],[Data da Competência]]=TbRegistroEntradas[[#This Row],[Data do Caixa Previsto]],"Vista","Prazo")</f>
        <v>Prazo</v>
      </c>
      <c r="Q3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49</v>
      </c>
    </row>
    <row r="33" spans="2:17" x14ac:dyDescent="0.25">
      <c r="B33" s="11">
        <v>43047</v>
      </c>
      <c r="C33" s="11">
        <v>43047</v>
      </c>
      <c r="D33" s="11">
        <v>43047</v>
      </c>
      <c r="E33" t="s">
        <v>24</v>
      </c>
      <c r="F33" t="s">
        <v>34</v>
      </c>
      <c r="G33" t="s">
        <v>89</v>
      </c>
      <c r="H33" s="114">
        <v>547</v>
      </c>
      <c r="I33">
        <f>IF(TbRegistroEntradas[[#This Row],[Data do Caixa Realizado]]="",0,MONTH(TbRegistroEntradas[[#This Row],[Data do Caixa Realizado]]))</f>
        <v>11</v>
      </c>
      <c r="J33">
        <f>IF(TbRegistroEntradas[[#This Row],[Data do Caixa Realizado]]="",0,YEAR(TbRegistroEntradas[[#This Row],[Data do Caixa Realizado]]))</f>
        <v>2017</v>
      </c>
      <c r="K33">
        <f>IF(TbRegistroEntradas[[#This Row],[Data da Competência]]="",0,MONTH(TbRegistroEntradas[[#This Row],[Data da Competência]]))</f>
        <v>11</v>
      </c>
      <c r="L33">
        <f>IF(TbRegistroEntradas[[#This Row],[Data da Competência]]="",0,YEAR(TbRegistroEntradas[[#This Row],[Data da Competência]]))</f>
        <v>2017</v>
      </c>
      <c r="M33">
        <f>IF(TbRegistroEntradas[[#This Row],[Data do Caixa Previsto]]="",0,MONTH(TbRegistroEntradas[[#This Row],[Data do Caixa Previsto]]))</f>
        <v>11</v>
      </c>
      <c r="N33">
        <f>IF(TbRegistroEntradas[[#This Row],[Data do Caixa Previsto]]="",0,YEAR(TbRegistroEntradas[[#This Row],[Data do Caixa Previsto]]))</f>
        <v>2017</v>
      </c>
      <c r="O33" t="str">
        <f ca="1">IF(AND(TbRegistroEntradas[[#This Row],[Data do Caixa Previsto]]&lt;TODAY(),TbRegistroEntradas[[#This Row],[Data do Caixa Realizado]]=""),"Vencida","Não Vencida")</f>
        <v>Não Vencida</v>
      </c>
      <c r="P33" t="str">
        <f>IF(TbRegistroEntradas[[#This Row],[Data da Competência]]=TbRegistroEntradas[[#This Row],[Data do Caixa Previsto]],"Vista","Prazo")</f>
        <v>Vista</v>
      </c>
      <c r="Q3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34" spans="2:17" x14ac:dyDescent="0.25">
      <c r="B34" s="11">
        <v>43077</v>
      </c>
      <c r="C34" s="11">
        <v>43051</v>
      </c>
      <c r="D34" s="11">
        <v>43051</v>
      </c>
      <c r="E34" t="s">
        <v>24</v>
      </c>
      <c r="F34" t="s">
        <v>34</v>
      </c>
      <c r="G34" t="s">
        <v>90</v>
      </c>
      <c r="H34" s="114">
        <v>1221</v>
      </c>
      <c r="I34">
        <f>IF(TbRegistroEntradas[[#This Row],[Data do Caixa Realizado]]="",0,MONTH(TbRegistroEntradas[[#This Row],[Data do Caixa Realizado]]))</f>
        <v>12</v>
      </c>
      <c r="J34">
        <f>IF(TbRegistroEntradas[[#This Row],[Data do Caixa Realizado]]="",0,YEAR(TbRegistroEntradas[[#This Row],[Data do Caixa Realizado]]))</f>
        <v>2017</v>
      </c>
      <c r="K34">
        <f>IF(TbRegistroEntradas[[#This Row],[Data da Competência]]="",0,MONTH(TbRegistroEntradas[[#This Row],[Data da Competência]]))</f>
        <v>11</v>
      </c>
      <c r="L34">
        <f>IF(TbRegistroEntradas[[#This Row],[Data da Competência]]="",0,YEAR(TbRegistroEntradas[[#This Row],[Data da Competência]]))</f>
        <v>2017</v>
      </c>
      <c r="M34">
        <f>IF(TbRegistroEntradas[[#This Row],[Data do Caixa Previsto]]="",0,MONTH(TbRegistroEntradas[[#This Row],[Data do Caixa Previsto]]))</f>
        <v>11</v>
      </c>
      <c r="N34">
        <f>IF(TbRegistroEntradas[[#This Row],[Data do Caixa Previsto]]="",0,YEAR(TbRegistroEntradas[[#This Row],[Data do Caixa Previsto]]))</f>
        <v>2017</v>
      </c>
      <c r="O34" t="str">
        <f ca="1">IF(AND(TbRegistroEntradas[[#This Row],[Data do Caixa Previsto]]&lt;TODAY(),TbRegistroEntradas[[#This Row],[Data do Caixa Realizado]]=""),"Vencida","Não Vencida")</f>
        <v>Não Vencida</v>
      </c>
      <c r="P34" t="str">
        <f>IF(TbRegistroEntradas[[#This Row],[Data da Competência]]=TbRegistroEntradas[[#This Row],[Data do Caixa Previsto]],"Vista","Prazo")</f>
        <v>Vista</v>
      </c>
      <c r="Q3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26</v>
      </c>
    </row>
    <row r="35" spans="2:17" x14ac:dyDescent="0.25">
      <c r="B35" s="11">
        <v>43101</v>
      </c>
      <c r="C35" s="11">
        <v>43053</v>
      </c>
      <c r="D35" s="11">
        <v>43101</v>
      </c>
      <c r="E35" t="s">
        <v>24</v>
      </c>
      <c r="F35" t="s">
        <v>33</v>
      </c>
      <c r="G35" t="s">
        <v>91</v>
      </c>
      <c r="H35" s="114">
        <v>4108</v>
      </c>
      <c r="I35">
        <f>IF(TbRegistroEntradas[[#This Row],[Data do Caixa Realizado]]="",0,MONTH(TbRegistroEntradas[[#This Row],[Data do Caixa Realizado]]))</f>
        <v>1</v>
      </c>
      <c r="J35">
        <f>IF(TbRegistroEntradas[[#This Row],[Data do Caixa Realizado]]="",0,YEAR(TbRegistroEntradas[[#This Row],[Data do Caixa Realizado]]))</f>
        <v>2018</v>
      </c>
      <c r="K35">
        <f>IF(TbRegistroEntradas[[#This Row],[Data da Competência]]="",0,MONTH(TbRegistroEntradas[[#This Row],[Data da Competência]]))</f>
        <v>11</v>
      </c>
      <c r="L35">
        <f>IF(TbRegistroEntradas[[#This Row],[Data da Competência]]="",0,YEAR(TbRegistroEntradas[[#This Row],[Data da Competência]]))</f>
        <v>2017</v>
      </c>
      <c r="M35">
        <f>IF(TbRegistroEntradas[[#This Row],[Data do Caixa Previsto]]="",0,MONTH(TbRegistroEntradas[[#This Row],[Data do Caixa Previsto]]))</f>
        <v>1</v>
      </c>
      <c r="N35">
        <f>IF(TbRegistroEntradas[[#This Row],[Data do Caixa Previsto]]="",0,YEAR(TbRegistroEntradas[[#This Row],[Data do Caixa Previsto]]))</f>
        <v>2018</v>
      </c>
      <c r="O35" t="str">
        <f ca="1">IF(AND(TbRegistroEntradas[[#This Row],[Data do Caixa Previsto]]&lt;TODAY(),TbRegistroEntradas[[#This Row],[Data do Caixa Realizado]]=""),"Vencida","Não Vencida")</f>
        <v>Não Vencida</v>
      </c>
      <c r="P35" t="str">
        <f>IF(TbRegistroEntradas[[#This Row],[Data da Competência]]=TbRegistroEntradas[[#This Row],[Data do Caixa Previsto]],"Vista","Prazo")</f>
        <v>Prazo</v>
      </c>
      <c r="Q3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36" spans="2:17" x14ac:dyDescent="0.25">
      <c r="B36" s="11">
        <v>43055</v>
      </c>
      <c r="C36" s="11">
        <v>43055</v>
      </c>
      <c r="D36" s="11">
        <v>43055</v>
      </c>
      <c r="E36" t="s">
        <v>24</v>
      </c>
      <c r="F36" t="s">
        <v>34</v>
      </c>
      <c r="G36" t="s">
        <v>92</v>
      </c>
      <c r="H36" s="114">
        <v>3714</v>
      </c>
      <c r="I36">
        <f>IF(TbRegistroEntradas[[#This Row],[Data do Caixa Realizado]]="",0,MONTH(TbRegistroEntradas[[#This Row],[Data do Caixa Realizado]]))</f>
        <v>11</v>
      </c>
      <c r="J36">
        <f>IF(TbRegistroEntradas[[#This Row],[Data do Caixa Realizado]]="",0,YEAR(TbRegistroEntradas[[#This Row],[Data do Caixa Realizado]]))</f>
        <v>2017</v>
      </c>
      <c r="K36">
        <f>IF(TbRegistroEntradas[[#This Row],[Data da Competência]]="",0,MONTH(TbRegistroEntradas[[#This Row],[Data da Competência]]))</f>
        <v>11</v>
      </c>
      <c r="L36">
        <f>IF(TbRegistroEntradas[[#This Row],[Data da Competência]]="",0,YEAR(TbRegistroEntradas[[#This Row],[Data da Competência]]))</f>
        <v>2017</v>
      </c>
      <c r="M36">
        <f>IF(TbRegistroEntradas[[#This Row],[Data do Caixa Previsto]]="",0,MONTH(TbRegistroEntradas[[#This Row],[Data do Caixa Previsto]]))</f>
        <v>11</v>
      </c>
      <c r="N36">
        <f>IF(TbRegistroEntradas[[#This Row],[Data do Caixa Previsto]]="",0,YEAR(TbRegistroEntradas[[#This Row],[Data do Caixa Previsto]]))</f>
        <v>2017</v>
      </c>
      <c r="O36" t="str">
        <f ca="1">IF(AND(TbRegistroEntradas[[#This Row],[Data do Caixa Previsto]]&lt;TODAY(),TbRegistroEntradas[[#This Row],[Data do Caixa Realizado]]=""),"Vencida","Não Vencida")</f>
        <v>Não Vencida</v>
      </c>
      <c r="P36" t="str">
        <f>IF(TbRegistroEntradas[[#This Row],[Data da Competência]]=TbRegistroEntradas[[#This Row],[Data do Caixa Previsto]],"Vista","Prazo")</f>
        <v>Vista</v>
      </c>
      <c r="Q3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37" spans="2:17" x14ac:dyDescent="0.25">
      <c r="B37" s="11" t="s">
        <v>68</v>
      </c>
      <c r="C37" s="11">
        <v>43057</v>
      </c>
      <c r="D37" s="11">
        <v>43101</v>
      </c>
      <c r="E37" t="s">
        <v>24</v>
      </c>
      <c r="F37" t="s">
        <v>31</v>
      </c>
      <c r="G37" t="s">
        <v>93</v>
      </c>
      <c r="H37" s="114">
        <v>4843</v>
      </c>
      <c r="I37">
        <f>IF(TbRegistroEntradas[[#This Row],[Data do Caixa Realizado]]="",0,MONTH(TbRegistroEntradas[[#This Row],[Data do Caixa Realizado]]))</f>
        <v>0</v>
      </c>
      <c r="J37">
        <f>IF(TbRegistroEntradas[[#This Row],[Data do Caixa Realizado]]="",0,YEAR(TbRegistroEntradas[[#This Row],[Data do Caixa Realizado]]))</f>
        <v>0</v>
      </c>
      <c r="K37">
        <f>IF(TbRegistroEntradas[[#This Row],[Data da Competência]]="",0,MONTH(TbRegistroEntradas[[#This Row],[Data da Competência]]))</f>
        <v>11</v>
      </c>
      <c r="L37">
        <f>IF(TbRegistroEntradas[[#This Row],[Data da Competência]]="",0,YEAR(TbRegistroEntradas[[#This Row],[Data da Competência]]))</f>
        <v>2017</v>
      </c>
      <c r="M37">
        <f>IF(TbRegistroEntradas[[#This Row],[Data do Caixa Previsto]]="",0,MONTH(TbRegistroEntradas[[#This Row],[Data do Caixa Previsto]]))</f>
        <v>1</v>
      </c>
      <c r="N37">
        <f>IF(TbRegistroEntradas[[#This Row],[Data do Caixa Previsto]]="",0,YEAR(TbRegistroEntradas[[#This Row],[Data do Caixa Previsto]]))</f>
        <v>2018</v>
      </c>
      <c r="O37" t="str">
        <f ca="1">IF(AND(TbRegistroEntradas[[#This Row],[Data do Caixa Previsto]]&lt;TODAY(),TbRegistroEntradas[[#This Row],[Data do Caixa Realizado]]=""),"Vencida","Não Vencida")</f>
        <v>Vencida</v>
      </c>
      <c r="P37" t="str">
        <f>IF(TbRegistroEntradas[[#This Row],[Data da Competência]]=TbRegistroEntradas[[#This Row],[Data do Caixa Previsto]],"Vista","Prazo")</f>
        <v>Prazo</v>
      </c>
      <c r="Q3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2252</v>
      </c>
    </row>
    <row r="38" spans="2:17" x14ac:dyDescent="0.25">
      <c r="B38" s="11">
        <v>43090</v>
      </c>
      <c r="C38" s="11">
        <v>43058</v>
      </c>
      <c r="D38" s="11">
        <v>43090</v>
      </c>
      <c r="E38" t="s">
        <v>24</v>
      </c>
      <c r="F38" t="s">
        <v>35</v>
      </c>
      <c r="G38" t="s">
        <v>94</v>
      </c>
      <c r="H38" s="114">
        <v>4831</v>
      </c>
      <c r="I38">
        <f>IF(TbRegistroEntradas[[#This Row],[Data do Caixa Realizado]]="",0,MONTH(TbRegistroEntradas[[#This Row],[Data do Caixa Realizado]]))</f>
        <v>12</v>
      </c>
      <c r="J38">
        <f>IF(TbRegistroEntradas[[#This Row],[Data do Caixa Realizado]]="",0,YEAR(TbRegistroEntradas[[#This Row],[Data do Caixa Realizado]]))</f>
        <v>2017</v>
      </c>
      <c r="K38">
        <f>IF(TbRegistroEntradas[[#This Row],[Data da Competência]]="",0,MONTH(TbRegistroEntradas[[#This Row],[Data da Competência]]))</f>
        <v>11</v>
      </c>
      <c r="L38">
        <f>IF(TbRegistroEntradas[[#This Row],[Data da Competência]]="",0,YEAR(TbRegistroEntradas[[#This Row],[Data da Competência]]))</f>
        <v>2017</v>
      </c>
      <c r="M38">
        <f>IF(TbRegistroEntradas[[#This Row],[Data do Caixa Previsto]]="",0,MONTH(TbRegistroEntradas[[#This Row],[Data do Caixa Previsto]]))</f>
        <v>12</v>
      </c>
      <c r="N38">
        <f>IF(TbRegistroEntradas[[#This Row],[Data do Caixa Previsto]]="",0,YEAR(TbRegistroEntradas[[#This Row],[Data do Caixa Previsto]]))</f>
        <v>2017</v>
      </c>
      <c r="O38" t="str">
        <f ca="1">IF(AND(TbRegistroEntradas[[#This Row],[Data do Caixa Previsto]]&lt;TODAY(),TbRegistroEntradas[[#This Row],[Data do Caixa Realizado]]=""),"Vencida","Não Vencida")</f>
        <v>Não Vencida</v>
      </c>
      <c r="P38" t="str">
        <f>IF(TbRegistroEntradas[[#This Row],[Data da Competência]]=TbRegistroEntradas[[#This Row],[Data do Caixa Previsto]],"Vista","Prazo")</f>
        <v>Prazo</v>
      </c>
      <c r="Q3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39" spans="2:17" x14ac:dyDescent="0.25">
      <c r="B39" s="11">
        <v>43059</v>
      </c>
      <c r="C39" s="11">
        <v>43059</v>
      </c>
      <c r="D39" s="11">
        <v>43059</v>
      </c>
      <c r="E39" t="s">
        <v>24</v>
      </c>
      <c r="F39" t="s">
        <v>34</v>
      </c>
      <c r="G39" t="s">
        <v>95</v>
      </c>
      <c r="H39" s="114">
        <v>2072</v>
      </c>
      <c r="I39">
        <f>IF(TbRegistroEntradas[[#This Row],[Data do Caixa Realizado]]="",0,MONTH(TbRegistroEntradas[[#This Row],[Data do Caixa Realizado]]))</f>
        <v>11</v>
      </c>
      <c r="J39">
        <f>IF(TbRegistroEntradas[[#This Row],[Data do Caixa Realizado]]="",0,YEAR(TbRegistroEntradas[[#This Row],[Data do Caixa Realizado]]))</f>
        <v>2017</v>
      </c>
      <c r="K39">
        <f>IF(TbRegistroEntradas[[#This Row],[Data da Competência]]="",0,MONTH(TbRegistroEntradas[[#This Row],[Data da Competência]]))</f>
        <v>11</v>
      </c>
      <c r="L39">
        <f>IF(TbRegistroEntradas[[#This Row],[Data da Competência]]="",0,YEAR(TbRegistroEntradas[[#This Row],[Data da Competência]]))</f>
        <v>2017</v>
      </c>
      <c r="M39">
        <f>IF(TbRegistroEntradas[[#This Row],[Data do Caixa Previsto]]="",0,MONTH(TbRegistroEntradas[[#This Row],[Data do Caixa Previsto]]))</f>
        <v>11</v>
      </c>
      <c r="N39">
        <f>IF(TbRegistroEntradas[[#This Row],[Data do Caixa Previsto]]="",0,YEAR(TbRegistroEntradas[[#This Row],[Data do Caixa Previsto]]))</f>
        <v>2017</v>
      </c>
      <c r="O39" t="str">
        <f ca="1">IF(AND(TbRegistroEntradas[[#This Row],[Data do Caixa Previsto]]&lt;TODAY(),TbRegistroEntradas[[#This Row],[Data do Caixa Realizado]]=""),"Vencida","Não Vencida")</f>
        <v>Não Vencida</v>
      </c>
      <c r="P39" t="str">
        <f>IF(TbRegistroEntradas[[#This Row],[Data da Competência]]=TbRegistroEntradas[[#This Row],[Data do Caixa Previsto]],"Vista","Prazo")</f>
        <v>Vista</v>
      </c>
      <c r="Q3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40" spans="2:17" x14ac:dyDescent="0.25">
      <c r="B40" s="11">
        <v>43122</v>
      </c>
      <c r="C40" s="11">
        <v>43063</v>
      </c>
      <c r="D40" s="11">
        <v>43122</v>
      </c>
      <c r="E40" t="s">
        <v>24</v>
      </c>
      <c r="F40" t="s">
        <v>32</v>
      </c>
      <c r="G40" t="s">
        <v>96</v>
      </c>
      <c r="H40" s="114">
        <v>3992</v>
      </c>
      <c r="I40">
        <f>IF(TbRegistroEntradas[[#This Row],[Data do Caixa Realizado]]="",0,MONTH(TbRegistroEntradas[[#This Row],[Data do Caixa Realizado]]))</f>
        <v>1</v>
      </c>
      <c r="J40">
        <f>IF(TbRegistroEntradas[[#This Row],[Data do Caixa Realizado]]="",0,YEAR(TbRegistroEntradas[[#This Row],[Data do Caixa Realizado]]))</f>
        <v>2018</v>
      </c>
      <c r="K40">
        <f>IF(TbRegistroEntradas[[#This Row],[Data da Competência]]="",0,MONTH(TbRegistroEntradas[[#This Row],[Data da Competência]]))</f>
        <v>11</v>
      </c>
      <c r="L40">
        <f>IF(TbRegistroEntradas[[#This Row],[Data da Competência]]="",0,YEAR(TbRegistroEntradas[[#This Row],[Data da Competência]]))</f>
        <v>2017</v>
      </c>
      <c r="M40">
        <f>IF(TbRegistroEntradas[[#This Row],[Data do Caixa Previsto]]="",0,MONTH(TbRegistroEntradas[[#This Row],[Data do Caixa Previsto]]))</f>
        <v>1</v>
      </c>
      <c r="N40">
        <f>IF(TbRegistroEntradas[[#This Row],[Data do Caixa Previsto]]="",0,YEAR(TbRegistroEntradas[[#This Row],[Data do Caixa Previsto]]))</f>
        <v>2018</v>
      </c>
      <c r="O40" t="str">
        <f ca="1">IF(AND(TbRegistroEntradas[[#This Row],[Data do Caixa Previsto]]&lt;TODAY(),TbRegistroEntradas[[#This Row],[Data do Caixa Realizado]]=""),"Vencida","Não Vencida")</f>
        <v>Não Vencida</v>
      </c>
      <c r="P40" t="str">
        <f>IF(TbRegistroEntradas[[#This Row],[Data da Competência]]=TbRegistroEntradas[[#This Row],[Data do Caixa Previsto]],"Vista","Prazo")</f>
        <v>Prazo</v>
      </c>
      <c r="Q4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41" spans="2:17" x14ac:dyDescent="0.25">
      <c r="B41" s="11">
        <v>43114</v>
      </c>
      <c r="C41" s="11">
        <v>43068</v>
      </c>
      <c r="D41" s="11">
        <v>43068</v>
      </c>
      <c r="E41" t="s">
        <v>24</v>
      </c>
      <c r="F41" t="s">
        <v>31</v>
      </c>
      <c r="G41" t="s">
        <v>97</v>
      </c>
      <c r="H41" s="114">
        <v>1284</v>
      </c>
      <c r="I41">
        <f>IF(TbRegistroEntradas[[#This Row],[Data do Caixa Realizado]]="",0,MONTH(TbRegistroEntradas[[#This Row],[Data do Caixa Realizado]]))</f>
        <v>1</v>
      </c>
      <c r="J41">
        <f>IF(TbRegistroEntradas[[#This Row],[Data do Caixa Realizado]]="",0,YEAR(TbRegistroEntradas[[#This Row],[Data do Caixa Realizado]]))</f>
        <v>2018</v>
      </c>
      <c r="K41">
        <f>IF(TbRegistroEntradas[[#This Row],[Data da Competência]]="",0,MONTH(TbRegistroEntradas[[#This Row],[Data da Competência]]))</f>
        <v>11</v>
      </c>
      <c r="L41">
        <f>IF(TbRegistroEntradas[[#This Row],[Data da Competência]]="",0,YEAR(TbRegistroEntradas[[#This Row],[Data da Competência]]))</f>
        <v>2017</v>
      </c>
      <c r="M41">
        <f>IF(TbRegistroEntradas[[#This Row],[Data do Caixa Previsto]]="",0,MONTH(TbRegistroEntradas[[#This Row],[Data do Caixa Previsto]]))</f>
        <v>11</v>
      </c>
      <c r="N41">
        <f>IF(TbRegistroEntradas[[#This Row],[Data do Caixa Previsto]]="",0,YEAR(TbRegistroEntradas[[#This Row],[Data do Caixa Previsto]]))</f>
        <v>2017</v>
      </c>
      <c r="O41" t="str">
        <f ca="1">IF(AND(TbRegistroEntradas[[#This Row],[Data do Caixa Previsto]]&lt;TODAY(),TbRegistroEntradas[[#This Row],[Data do Caixa Realizado]]=""),"Vencida","Não Vencida")</f>
        <v>Não Vencida</v>
      </c>
      <c r="P41" t="str">
        <f>IF(TbRegistroEntradas[[#This Row],[Data da Competência]]=TbRegistroEntradas[[#This Row],[Data do Caixa Previsto]],"Vista","Prazo")</f>
        <v>Vista</v>
      </c>
      <c r="Q4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46</v>
      </c>
    </row>
    <row r="42" spans="2:17" x14ac:dyDescent="0.25">
      <c r="B42" s="11">
        <v>43073</v>
      </c>
      <c r="C42" s="11">
        <v>43073</v>
      </c>
      <c r="D42" s="11">
        <v>43073</v>
      </c>
      <c r="E42" t="s">
        <v>24</v>
      </c>
      <c r="F42" t="s">
        <v>32</v>
      </c>
      <c r="G42" t="s">
        <v>98</v>
      </c>
      <c r="H42" s="114">
        <v>4073</v>
      </c>
      <c r="I42">
        <f>IF(TbRegistroEntradas[[#This Row],[Data do Caixa Realizado]]="",0,MONTH(TbRegistroEntradas[[#This Row],[Data do Caixa Realizado]]))</f>
        <v>12</v>
      </c>
      <c r="J42">
        <f>IF(TbRegistroEntradas[[#This Row],[Data do Caixa Realizado]]="",0,YEAR(TbRegistroEntradas[[#This Row],[Data do Caixa Realizado]]))</f>
        <v>2017</v>
      </c>
      <c r="K42">
        <f>IF(TbRegistroEntradas[[#This Row],[Data da Competência]]="",0,MONTH(TbRegistroEntradas[[#This Row],[Data da Competência]]))</f>
        <v>12</v>
      </c>
      <c r="L42">
        <f>IF(TbRegistroEntradas[[#This Row],[Data da Competência]]="",0,YEAR(TbRegistroEntradas[[#This Row],[Data da Competência]]))</f>
        <v>2017</v>
      </c>
      <c r="M42">
        <f>IF(TbRegistroEntradas[[#This Row],[Data do Caixa Previsto]]="",0,MONTH(TbRegistroEntradas[[#This Row],[Data do Caixa Previsto]]))</f>
        <v>12</v>
      </c>
      <c r="N42">
        <f>IF(TbRegistroEntradas[[#This Row],[Data do Caixa Previsto]]="",0,YEAR(TbRegistroEntradas[[#This Row],[Data do Caixa Previsto]]))</f>
        <v>2017</v>
      </c>
      <c r="O42" t="str">
        <f ca="1">IF(AND(TbRegistroEntradas[[#This Row],[Data do Caixa Previsto]]&lt;TODAY(),TbRegistroEntradas[[#This Row],[Data do Caixa Realizado]]=""),"Vencida","Não Vencida")</f>
        <v>Não Vencida</v>
      </c>
      <c r="P42" t="str">
        <f>IF(TbRegistroEntradas[[#This Row],[Data da Competência]]=TbRegistroEntradas[[#This Row],[Data do Caixa Previsto]],"Vista","Prazo")</f>
        <v>Vista</v>
      </c>
      <c r="Q4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43" spans="2:17" x14ac:dyDescent="0.25">
      <c r="B43" s="11">
        <v>43073</v>
      </c>
      <c r="C43" s="11">
        <v>43073</v>
      </c>
      <c r="D43" s="11">
        <v>43073</v>
      </c>
      <c r="E43" t="s">
        <v>24</v>
      </c>
      <c r="F43" t="s">
        <v>31</v>
      </c>
      <c r="G43" t="s">
        <v>99</v>
      </c>
      <c r="H43" s="114">
        <v>3008</v>
      </c>
      <c r="I43">
        <f>IF(TbRegistroEntradas[[#This Row],[Data do Caixa Realizado]]="",0,MONTH(TbRegistroEntradas[[#This Row],[Data do Caixa Realizado]]))</f>
        <v>12</v>
      </c>
      <c r="J43">
        <f>IF(TbRegistroEntradas[[#This Row],[Data do Caixa Realizado]]="",0,YEAR(TbRegistroEntradas[[#This Row],[Data do Caixa Realizado]]))</f>
        <v>2017</v>
      </c>
      <c r="K43">
        <f>IF(TbRegistroEntradas[[#This Row],[Data da Competência]]="",0,MONTH(TbRegistroEntradas[[#This Row],[Data da Competência]]))</f>
        <v>12</v>
      </c>
      <c r="L43">
        <f>IF(TbRegistroEntradas[[#This Row],[Data da Competência]]="",0,YEAR(TbRegistroEntradas[[#This Row],[Data da Competência]]))</f>
        <v>2017</v>
      </c>
      <c r="M43">
        <f>IF(TbRegistroEntradas[[#This Row],[Data do Caixa Previsto]]="",0,MONTH(TbRegistroEntradas[[#This Row],[Data do Caixa Previsto]]))</f>
        <v>12</v>
      </c>
      <c r="N43">
        <f>IF(TbRegistroEntradas[[#This Row],[Data do Caixa Previsto]]="",0,YEAR(TbRegistroEntradas[[#This Row],[Data do Caixa Previsto]]))</f>
        <v>2017</v>
      </c>
      <c r="O43" t="str">
        <f ca="1">IF(AND(TbRegistroEntradas[[#This Row],[Data do Caixa Previsto]]&lt;TODAY(),TbRegistroEntradas[[#This Row],[Data do Caixa Realizado]]=""),"Vencida","Não Vencida")</f>
        <v>Não Vencida</v>
      </c>
      <c r="P43" t="str">
        <f>IF(TbRegistroEntradas[[#This Row],[Data da Competência]]=TbRegistroEntradas[[#This Row],[Data do Caixa Previsto]],"Vista","Prazo")</f>
        <v>Vista</v>
      </c>
      <c r="Q4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44" spans="2:17" x14ac:dyDescent="0.25">
      <c r="B44" s="11">
        <v>43103</v>
      </c>
      <c r="C44" s="11">
        <v>43080</v>
      </c>
      <c r="D44" s="11">
        <v>43080</v>
      </c>
      <c r="E44" t="s">
        <v>24</v>
      </c>
      <c r="F44" t="s">
        <v>31</v>
      </c>
      <c r="G44" t="s">
        <v>100</v>
      </c>
      <c r="H44" s="114">
        <v>1267</v>
      </c>
      <c r="I44">
        <f>IF(TbRegistroEntradas[[#This Row],[Data do Caixa Realizado]]="",0,MONTH(TbRegistroEntradas[[#This Row],[Data do Caixa Realizado]]))</f>
        <v>1</v>
      </c>
      <c r="J44">
        <f>IF(TbRegistroEntradas[[#This Row],[Data do Caixa Realizado]]="",0,YEAR(TbRegistroEntradas[[#This Row],[Data do Caixa Realizado]]))</f>
        <v>2018</v>
      </c>
      <c r="K44">
        <f>IF(TbRegistroEntradas[[#This Row],[Data da Competência]]="",0,MONTH(TbRegistroEntradas[[#This Row],[Data da Competência]]))</f>
        <v>12</v>
      </c>
      <c r="L44">
        <f>IF(TbRegistroEntradas[[#This Row],[Data da Competência]]="",0,YEAR(TbRegistroEntradas[[#This Row],[Data da Competência]]))</f>
        <v>2017</v>
      </c>
      <c r="M44">
        <f>IF(TbRegistroEntradas[[#This Row],[Data do Caixa Previsto]]="",0,MONTH(TbRegistroEntradas[[#This Row],[Data do Caixa Previsto]]))</f>
        <v>12</v>
      </c>
      <c r="N44">
        <f>IF(TbRegistroEntradas[[#This Row],[Data do Caixa Previsto]]="",0,YEAR(TbRegistroEntradas[[#This Row],[Data do Caixa Previsto]]))</f>
        <v>2017</v>
      </c>
      <c r="O44" t="str">
        <f ca="1">IF(AND(TbRegistroEntradas[[#This Row],[Data do Caixa Previsto]]&lt;TODAY(),TbRegistroEntradas[[#This Row],[Data do Caixa Realizado]]=""),"Vencida","Não Vencida")</f>
        <v>Não Vencida</v>
      </c>
      <c r="P44" t="str">
        <f>IF(TbRegistroEntradas[[#This Row],[Data da Competência]]=TbRegistroEntradas[[#This Row],[Data do Caixa Previsto]],"Vista","Prazo")</f>
        <v>Vista</v>
      </c>
      <c r="Q4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23</v>
      </c>
    </row>
    <row r="45" spans="2:17" x14ac:dyDescent="0.25">
      <c r="B45" s="11">
        <v>43103</v>
      </c>
      <c r="C45" s="11">
        <v>43082</v>
      </c>
      <c r="D45" s="11">
        <v>43103</v>
      </c>
      <c r="E45" t="s">
        <v>24</v>
      </c>
      <c r="F45" t="s">
        <v>31</v>
      </c>
      <c r="G45" t="s">
        <v>101</v>
      </c>
      <c r="H45" s="114">
        <v>284</v>
      </c>
      <c r="I45">
        <f>IF(TbRegistroEntradas[[#This Row],[Data do Caixa Realizado]]="",0,MONTH(TbRegistroEntradas[[#This Row],[Data do Caixa Realizado]]))</f>
        <v>1</v>
      </c>
      <c r="J45">
        <f>IF(TbRegistroEntradas[[#This Row],[Data do Caixa Realizado]]="",0,YEAR(TbRegistroEntradas[[#This Row],[Data do Caixa Realizado]]))</f>
        <v>2018</v>
      </c>
      <c r="K45">
        <f>IF(TbRegistroEntradas[[#This Row],[Data da Competência]]="",0,MONTH(TbRegistroEntradas[[#This Row],[Data da Competência]]))</f>
        <v>12</v>
      </c>
      <c r="L45">
        <f>IF(TbRegistroEntradas[[#This Row],[Data da Competência]]="",0,YEAR(TbRegistroEntradas[[#This Row],[Data da Competência]]))</f>
        <v>2017</v>
      </c>
      <c r="M45">
        <f>IF(TbRegistroEntradas[[#This Row],[Data do Caixa Previsto]]="",0,MONTH(TbRegistroEntradas[[#This Row],[Data do Caixa Previsto]]))</f>
        <v>1</v>
      </c>
      <c r="N45">
        <f>IF(TbRegistroEntradas[[#This Row],[Data do Caixa Previsto]]="",0,YEAR(TbRegistroEntradas[[#This Row],[Data do Caixa Previsto]]))</f>
        <v>2018</v>
      </c>
      <c r="O45" t="str">
        <f ca="1">IF(AND(TbRegistroEntradas[[#This Row],[Data do Caixa Previsto]]&lt;TODAY(),TbRegistroEntradas[[#This Row],[Data do Caixa Realizado]]=""),"Vencida","Não Vencida")</f>
        <v>Não Vencida</v>
      </c>
      <c r="P45" t="str">
        <f>IF(TbRegistroEntradas[[#This Row],[Data da Competência]]=TbRegistroEntradas[[#This Row],[Data do Caixa Previsto]],"Vista","Prazo")</f>
        <v>Prazo</v>
      </c>
      <c r="Q4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46" spans="2:17" x14ac:dyDescent="0.25">
      <c r="B46" s="11">
        <v>43086</v>
      </c>
      <c r="C46" s="11">
        <v>43083</v>
      </c>
      <c r="D46" s="11">
        <v>43086</v>
      </c>
      <c r="E46" t="s">
        <v>24</v>
      </c>
      <c r="F46" t="s">
        <v>34</v>
      </c>
      <c r="G46" t="s">
        <v>102</v>
      </c>
      <c r="H46" s="114">
        <v>2046</v>
      </c>
      <c r="I46">
        <f>IF(TbRegistroEntradas[[#This Row],[Data do Caixa Realizado]]="",0,MONTH(TbRegistroEntradas[[#This Row],[Data do Caixa Realizado]]))</f>
        <v>12</v>
      </c>
      <c r="J46">
        <f>IF(TbRegistroEntradas[[#This Row],[Data do Caixa Realizado]]="",0,YEAR(TbRegistroEntradas[[#This Row],[Data do Caixa Realizado]]))</f>
        <v>2017</v>
      </c>
      <c r="K46">
        <f>IF(TbRegistroEntradas[[#This Row],[Data da Competência]]="",0,MONTH(TbRegistroEntradas[[#This Row],[Data da Competência]]))</f>
        <v>12</v>
      </c>
      <c r="L46">
        <f>IF(TbRegistroEntradas[[#This Row],[Data da Competência]]="",0,YEAR(TbRegistroEntradas[[#This Row],[Data da Competência]]))</f>
        <v>2017</v>
      </c>
      <c r="M46">
        <f>IF(TbRegistroEntradas[[#This Row],[Data do Caixa Previsto]]="",0,MONTH(TbRegistroEntradas[[#This Row],[Data do Caixa Previsto]]))</f>
        <v>12</v>
      </c>
      <c r="N46">
        <f>IF(TbRegistroEntradas[[#This Row],[Data do Caixa Previsto]]="",0,YEAR(TbRegistroEntradas[[#This Row],[Data do Caixa Previsto]]))</f>
        <v>2017</v>
      </c>
      <c r="O46" t="str">
        <f ca="1">IF(AND(TbRegistroEntradas[[#This Row],[Data do Caixa Previsto]]&lt;TODAY(),TbRegistroEntradas[[#This Row],[Data do Caixa Realizado]]=""),"Vencida","Não Vencida")</f>
        <v>Não Vencida</v>
      </c>
      <c r="P46" t="str">
        <f>IF(TbRegistroEntradas[[#This Row],[Data da Competência]]=TbRegistroEntradas[[#This Row],[Data do Caixa Previsto]],"Vista","Prazo")</f>
        <v>Prazo</v>
      </c>
      <c r="Q4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47" spans="2:17" x14ac:dyDescent="0.25">
      <c r="B47" s="11">
        <v>43122</v>
      </c>
      <c r="C47" s="11">
        <v>43085</v>
      </c>
      <c r="D47" s="11">
        <v>43122</v>
      </c>
      <c r="E47" t="s">
        <v>24</v>
      </c>
      <c r="F47" t="s">
        <v>32</v>
      </c>
      <c r="G47" t="s">
        <v>103</v>
      </c>
      <c r="H47" s="114">
        <v>3880</v>
      </c>
      <c r="I47">
        <f>IF(TbRegistroEntradas[[#This Row],[Data do Caixa Realizado]]="",0,MONTH(TbRegistroEntradas[[#This Row],[Data do Caixa Realizado]]))</f>
        <v>1</v>
      </c>
      <c r="J47">
        <f>IF(TbRegistroEntradas[[#This Row],[Data do Caixa Realizado]]="",0,YEAR(TbRegistroEntradas[[#This Row],[Data do Caixa Realizado]]))</f>
        <v>2018</v>
      </c>
      <c r="K47">
        <f>IF(TbRegistroEntradas[[#This Row],[Data da Competência]]="",0,MONTH(TbRegistroEntradas[[#This Row],[Data da Competência]]))</f>
        <v>12</v>
      </c>
      <c r="L47">
        <f>IF(TbRegistroEntradas[[#This Row],[Data da Competência]]="",0,YEAR(TbRegistroEntradas[[#This Row],[Data da Competência]]))</f>
        <v>2017</v>
      </c>
      <c r="M47">
        <f>IF(TbRegistroEntradas[[#This Row],[Data do Caixa Previsto]]="",0,MONTH(TbRegistroEntradas[[#This Row],[Data do Caixa Previsto]]))</f>
        <v>1</v>
      </c>
      <c r="N47">
        <f>IF(TbRegistroEntradas[[#This Row],[Data do Caixa Previsto]]="",0,YEAR(TbRegistroEntradas[[#This Row],[Data do Caixa Previsto]]))</f>
        <v>2018</v>
      </c>
      <c r="O47" t="str">
        <f ca="1">IF(AND(TbRegistroEntradas[[#This Row],[Data do Caixa Previsto]]&lt;TODAY(),TbRegistroEntradas[[#This Row],[Data do Caixa Realizado]]=""),"Vencida","Não Vencida")</f>
        <v>Não Vencida</v>
      </c>
      <c r="P47" t="str">
        <f>IF(TbRegistroEntradas[[#This Row],[Data da Competência]]=TbRegistroEntradas[[#This Row],[Data do Caixa Previsto]],"Vista","Prazo")</f>
        <v>Prazo</v>
      </c>
      <c r="Q4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48" spans="2:17" x14ac:dyDescent="0.25">
      <c r="B48" s="11">
        <v>43123</v>
      </c>
      <c r="C48" s="11">
        <v>43086</v>
      </c>
      <c r="D48" s="11">
        <v>43123</v>
      </c>
      <c r="E48" t="s">
        <v>24</v>
      </c>
      <c r="F48" t="s">
        <v>32</v>
      </c>
      <c r="G48" t="s">
        <v>104</v>
      </c>
      <c r="H48" s="114">
        <v>3149</v>
      </c>
      <c r="I48">
        <f>IF(TbRegistroEntradas[[#This Row],[Data do Caixa Realizado]]="",0,MONTH(TbRegistroEntradas[[#This Row],[Data do Caixa Realizado]]))</f>
        <v>1</v>
      </c>
      <c r="J48">
        <f>IF(TbRegistroEntradas[[#This Row],[Data do Caixa Realizado]]="",0,YEAR(TbRegistroEntradas[[#This Row],[Data do Caixa Realizado]]))</f>
        <v>2018</v>
      </c>
      <c r="K48">
        <f>IF(TbRegistroEntradas[[#This Row],[Data da Competência]]="",0,MONTH(TbRegistroEntradas[[#This Row],[Data da Competência]]))</f>
        <v>12</v>
      </c>
      <c r="L48">
        <f>IF(TbRegistroEntradas[[#This Row],[Data da Competência]]="",0,YEAR(TbRegistroEntradas[[#This Row],[Data da Competência]]))</f>
        <v>2017</v>
      </c>
      <c r="M48">
        <f>IF(TbRegistroEntradas[[#This Row],[Data do Caixa Previsto]]="",0,MONTH(TbRegistroEntradas[[#This Row],[Data do Caixa Previsto]]))</f>
        <v>1</v>
      </c>
      <c r="N48">
        <f>IF(TbRegistroEntradas[[#This Row],[Data do Caixa Previsto]]="",0,YEAR(TbRegistroEntradas[[#This Row],[Data do Caixa Previsto]]))</f>
        <v>2018</v>
      </c>
      <c r="O48" t="str">
        <f ca="1">IF(AND(TbRegistroEntradas[[#This Row],[Data do Caixa Previsto]]&lt;TODAY(),TbRegistroEntradas[[#This Row],[Data do Caixa Realizado]]=""),"Vencida","Não Vencida")</f>
        <v>Não Vencida</v>
      </c>
      <c r="P48" t="str">
        <f>IF(TbRegistroEntradas[[#This Row],[Data da Competência]]=TbRegistroEntradas[[#This Row],[Data do Caixa Previsto]],"Vista","Prazo")</f>
        <v>Prazo</v>
      </c>
      <c r="Q4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49" spans="2:17" x14ac:dyDescent="0.25">
      <c r="B49" s="11">
        <v>43125</v>
      </c>
      <c r="C49" s="11">
        <v>43088</v>
      </c>
      <c r="D49" s="11">
        <v>43125</v>
      </c>
      <c r="E49" t="s">
        <v>24</v>
      </c>
      <c r="F49" t="s">
        <v>34</v>
      </c>
      <c r="G49" t="s">
        <v>105</v>
      </c>
      <c r="H49" s="114">
        <v>668</v>
      </c>
      <c r="I49">
        <f>IF(TbRegistroEntradas[[#This Row],[Data do Caixa Realizado]]="",0,MONTH(TbRegistroEntradas[[#This Row],[Data do Caixa Realizado]]))</f>
        <v>1</v>
      </c>
      <c r="J49">
        <f>IF(TbRegistroEntradas[[#This Row],[Data do Caixa Realizado]]="",0,YEAR(TbRegistroEntradas[[#This Row],[Data do Caixa Realizado]]))</f>
        <v>2018</v>
      </c>
      <c r="K49">
        <f>IF(TbRegistroEntradas[[#This Row],[Data da Competência]]="",0,MONTH(TbRegistroEntradas[[#This Row],[Data da Competência]]))</f>
        <v>12</v>
      </c>
      <c r="L49">
        <f>IF(TbRegistroEntradas[[#This Row],[Data da Competência]]="",0,YEAR(TbRegistroEntradas[[#This Row],[Data da Competência]]))</f>
        <v>2017</v>
      </c>
      <c r="M49">
        <f>IF(TbRegistroEntradas[[#This Row],[Data do Caixa Previsto]]="",0,MONTH(TbRegistroEntradas[[#This Row],[Data do Caixa Previsto]]))</f>
        <v>1</v>
      </c>
      <c r="N49">
        <f>IF(TbRegistroEntradas[[#This Row],[Data do Caixa Previsto]]="",0,YEAR(TbRegistroEntradas[[#This Row],[Data do Caixa Previsto]]))</f>
        <v>2018</v>
      </c>
      <c r="O49" t="str">
        <f ca="1">IF(AND(TbRegistroEntradas[[#This Row],[Data do Caixa Previsto]]&lt;TODAY(),TbRegistroEntradas[[#This Row],[Data do Caixa Realizado]]=""),"Vencida","Não Vencida")</f>
        <v>Não Vencida</v>
      </c>
      <c r="P49" t="str">
        <f>IF(TbRegistroEntradas[[#This Row],[Data da Competência]]=TbRegistroEntradas[[#This Row],[Data do Caixa Previsto]],"Vista","Prazo")</f>
        <v>Prazo</v>
      </c>
      <c r="Q4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50" spans="2:17" x14ac:dyDescent="0.25">
      <c r="B50" s="11">
        <v>43089</v>
      </c>
      <c r="C50" s="11">
        <v>43089</v>
      </c>
      <c r="D50" s="11">
        <v>43089</v>
      </c>
      <c r="E50" t="s">
        <v>24</v>
      </c>
      <c r="F50" t="s">
        <v>35</v>
      </c>
      <c r="G50" t="s">
        <v>106</v>
      </c>
      <c r="H50" s="114">
        <v>3721</v>
      </c>
      <c r="I50">
        <f>IF(TbRegistroEntradas[[#This Row],[Data do Caixa Realizado]]="",0,MONTH(TbRegistroEntradas[[#This Row],[Data do Caixa Realizado]]))</f>
        <v>12</v>
      </c>
      <c r="J50">
        <f>IF(TbRegistroEntradas[[#This Row],[Data do Caixa Realizado]]="",0,YEAR(TbRegistroEntradas[[#This Row],[Data do Caixa Realizado]]))</f>
        <v>2017</v>
      </c>
      <c r="K50">
        <f>IF(TbRegistroEntradas[[#This Row],[Data da Competência]]="",0,MONTH(TbRegistroEntradas[[#This Row],[Data da Competência]]))</f>
        <v>12</v>
      </c>
      <c r="L50">
        <f>IF(TbRegistroEntradas[[#This Row],[Data da Competência]]="",0,YEAR(TbRegistroEntradas[[#This Row],[Data da Competência]]))</f>
        <v>2017</v>
      </c>
      <c r="M50">
        <f>IF(TbRegistroEntradas[[#This Row],[Data do Caixa Previsto]]="",0,MONTH(TbRegistroEntradas[[#This Row],[Data do Caixa Previsto]]))</f>
        <v>12</v>
      </c>
      <c r="N50">
        <f>IF(TbRegistroEntradas[[#This Row],[Data do Caixa Previsto]]="",0,YEAR(TbRegistroEntradas[[#This Row],[Data do Caixa Previsto]]))</f>
        <v>2017</v>
      </c>
      <c r="O50" t="str">
        <f ca="1">IF(AND(TbRegistroEntradas[[#This Row],[Data do Caixa Previsto]]&lt;TODAY(),TbRegistroEntradas[[#This Row],[Data do Caixa Realizado]]=""),"Vencida","Não Vencida")</f>
        <v>Não Vencida</v>
      </c>
      <c r="P50" t="str">
        <f>IF(TbRegistroEntradas[[#This Row],[Data da Competência]]=TbRegistroEntradas[[#This Row],[Data do Caixa Previsto]],"Vista","Prazo")</f>
        <v>Vista</v>
      </c>
      <c r="Q5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51" spans="2:17" x14ac:dyDescent="0.25">
      <c r="B51" s="11">
        <v>43133</v>
      </c>
      <c r="C51" s="11">
        <v>43091</v>
      </c>
      <c r="D51" s="11">
        <v>43133</v>
      </c>
      <c r="E51" t="s">
        <v>24</v>
      </c>
      <c r="F51" t="s">
        <v>32</v>
      </c>
      <c r="G51" t="s">
        <v>107</v>
      </c>
      <c r="H51" s="114">
        <v>3114</v>
      </c>
      <c r="I51">
        <f>IF(TbRegistroEntradas[[#This Row],[Data do Caixa Realizado]]="",0,MONTH(TbRegistroEntradas[[#This Row],[Data do Caixa Realizado]]))</f>
        <v>2</v>
      </c>
      <c r="J51">
        <f>IF(TbRegistroEntradas[[#This Row],[Data do Caixa Realizado]]="",0,YEAR(TbRegistroEntradas[[#This Row],[Data do Caixa Realizado]]))</f>
        <v>2018</v>
      </c>
      <c r="K51">
        <f>IF(TbRegistroEntradas[[#This Row],[Data da Competência]]="",0,MONTH(TbRegistroEntradas[[#This Row],[Data da Competência]]))</f>
        <v>12</v>
      </c>
      <c r="L51">
        <f>IF(TbRegistroEntradas[[#This Row],[Data da Competência]]="",0,YEAR(TbRegistroEntradas[[#This Row],[Data da Competência]]))</f>
        <v>2017</v>
      </c>
      <c r="M51">
        <f>IF(TbRegistroEntradas[[#This Row],[Data do Caixa Previsto]]="",0,MONTH(TbRegistroEntradas[[#This Row],[Data do Caixa Previsto]]))</f>
        <v>2</v>
      </c>
      <c r="N51">
        <f>IF(TbRegistroEntradas[[#This Row],[Data do Caixa Previsto]]="",0,YEAR(TbRegistroEntradas[[#This Row],[Data do Caixa Previsto]]))</f>
        <v>2018</v>
      </c>
      <c r="O51" t="str">
        <f ca="1">IF(AND(TbRegistroEntradas[[#This Row],[Data do Caixa Previsto]]&lt;TODAY(),TbRegistroEntradas[[#This Row],[Data do Caixa Realizado]]=""),"Vencida","Não Vencida")</f>
        <v>Não Vencida</v>
      </c>
      <c r="P51" t="str">
        <f>IF(TbRegistroEntradas[[#This Row],[Data da Competência]]=TbRegistroEntradas[[#This Row],[Data do Caixa Previsto]],"Vista","Prazo")</f>
        <v>Prazo</v>
      </c>
      <c r="Q5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52" spans="2:17" x14ac:dyDescent="0.25">
      <c r="B52" s="11">
        <v>43182</v>
      </c>
      <c r="C52" s="11">
        <v>43095</v>
      </c>
      <c r="D52" s="11">
        <v>43095</v>
      </c>
      <c r="E52" t="s">
        <v>24</v>
      </c>
      <c r="F52" t="s">
        <v>34</v>
      </c>
      <c r="G52" t="s">
        <v>108</v>
      </c>
      <c r="H52" s="114">
        <v>1436</v>
      </c>
      <c r="I52">
        <f>IF(TbRegistroEntradas[[#This Row],[Data do Caixa Realizado]]="",0,MONTH(TbRegistroEntradas[[#This Row],[Data do Caixa Realizado]]))</f>
        <v>3</v>
      </c>
      <c r="J52">
        <f>IF(TbRegistroEntradas[[#This Row],[Data do Caixa Realizado]]="",0,YEAR(TbRegistroEntradas[[#This Row],[Data do Caixa Realizado]]))</f>
        <v>2018</v>
      </c>
      <c r="K52">
        <f>IF(TbRegistroEntradas[[#This Row],[Data da Competência]]="",0,MONTH(TbRegistroEntradas[[#This Row],[Data da Competência]]))</f>
        <v>12</v>
      </c>
      <c r="L52">
        <f>IF(TbRegistroEntradas[[#This Row],[Data da Competência]]="",0,YEAR(TbRegistroEntradas[[#This Row],[Data da Competência]]))</f>
        <v>2017</v>
      </c>
      <c r="M52">
        <f>IF(TbRegistroEntradas[[#This Row],[Data do Caixa Previsto]]="",0,MONTH(TbRegistroEntradas[[#This Row],[Data do Caixa Previsto]]))</f>
        <v>12</v>
      </c>
      <c r="N52">
        <f>IF(TbRegistroEntradas[[#This Row],[Data do Caixa Previsto]]="",0,YEAR(TbRegistroEntradas[[#This Row],[Data do Caixa Previsto]]))</f>
        <v>2017</v>
      </c>
      <c r="O52" t="str">
        <f ca="1">IF(AND(TbRegistroEntradas[[#This Row],[Data do Caixa Previsto]]&lt;TODAY(),TbRegistroEntradas[[#This Row],[Data do Caixa Realizado]]=""),"Vencida","Não Vencida")</f>
        <v>Não Vencida</v>
      </c>
      <c r="P52" t="str">
        <f>IF(TbRegistroEntradas[[#This Row],[Data da Competência]]=TbRegistroEntradas[[#This Row],[Data do Caixa Previsto]],"Vista","Prazo")</f>
        <v>Vista</v>
      </c>
      <c r="Q5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87</v>
      </c>
    </row>
    <row r="53" spans="2:17" x14ac:dyDescent="0.25">
      <c r="B53" s="11">
        <v>43101</v>
      </c>
      <c r="C53" s="11">
        <v>43099</v>
      </c>
      <c r="D53" s="11">
        <v>43101</v>
      </c>
      <c r="E53" t="s">
        <v>24</v>
      </c>
      <c r="F53" t="s">
        <v>34</v>
      </c>
      <c r="G53" t="s">
        <v>109</v>
      </c>
      <c r="H53" s="114">
        <v>3192</v>
      </c>
      <c r="I53">
        <f>IF(TbRegistroEntradas[[#This Row],[Data do Caixa Realizado]]="",0,MONTH(TbRegistroEntradas[[#This Row],[Data do Caixa Realizado]]))</f>
        <v>1</v>
      </c>
      <c r="J53">
        <f>IF(TbRegistroEntradas[[#This Row],[Data do Caixa Realizado]]="",0,YEAR(TbRegistroEntradas[[#This Row],[Data do Caixa Realizado]]))</f>
        <v>2018</v>
      </c>
      <c r="K53">
        <f>IF(TbRegistroEntradas[[#This Row],[Data da Competência]]="",0,MONTH(TbRegistroEntradas[[#This Row],[Data da Competência]]))</f>
        <v>12</v>
      </c>
      <c r="L53">
        <f>IF(TbRegistroEntradas[[#This Row],[Data da Competência]]="",0,YEAR(TbRegistroEntradas[[#This Row],[Data da Competência]]))</f>
        <v>2017</v>
      </c>
      <c r="M53">
        <f>IF(TbRegistroEntradas[[#This Row],[Data do Caixa Previsto]]="",0,MONTH(TbRegistroEntradas[[#This Row],[Data do Caixa Previsto]]))</f>
        <v>1</v>
      </c>
      <c r="N53">
        <f>IF(TbRegistroEntradas[[#This Row],[Data do Caixa Previsto]]="",0,YEAR(TbRegistroEntradas[[#This Row],[Data do Caixa Previsto]]))</f>
        <v>2018</v>
      </c>
      <c r="O53" t="str">
        <f ca="1">IF(AND(TbRegistroEntradas[[#This Row],[Data do Caixa Previsto]]&lt;TODAY(),TbRegistroEntradas[[#This Row],[Data do Caixa Realizado]]=""),"Vencida","Não Vencida")</f>
        <v>Não Vencida</v>
      </c>
      <c r="P53" t="str">
        <f>IF(TbRegistroEntradas[[#This Row],[Data da Competência]]=TbRegistroEntradas[[#This Row],[Data do Caixa Previsto]],"Vista","Prazo")</f>
        <v>Prazo</v>
      </c>
      <c r="Q5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54" spans="2:17" x14ac:dyDescent="0.25">
      <c r="B54" s="11">
        <v>43144</v>
      </c>
      <c r="C54" s="11">
        <v>43100</v>
      </c>
      <c r="D54" s="11">
        <v>43144</v>
      </c>
      <c r="E54" t="s">
        <v>24</v>
      </c>
      <c r="F54" t="s">
        <v>35</v>
      </c>
      <c r="G54" t="s">
        <v>110</v>
      </c>
      <c r="H54" s="114">
        <v>2687</v>
      </c>
      <c r="I54">
        <f>IF(TbRegistroEntradas[[#This Row],[Data do Caixa Realizado]]="",0,MONTH(TbRegistroEntradas[[#This Row],[Data do Caixa Realizado]]))</f>
        <v>2</v>
      </c>
      <c r="J54">
        <f>IF(TbRegistroEntradas[[#This Row],[Data do Caixa Realizado]]="",0,YEAR(TbRegistroEntradas[[#This Row],[Data do Caixa Realizado]]))</f>
        <v>2018</v>
      </c>
      <c r="K54">
        <f>IF(TbRegistroEntradas[[#This Row],[Data da Competência]]="",0,MONTH(TbRegistroEntradas[[#This Row],[Data da Competência]]))</f>
        <v>12</v>
      </c>
      <c r="L54">
        <f>IF(TbRegistroEntradas[[#This Row],[Data da Competência]]="",0,YEAR(TbRegistroEntradas[[#This Row],[Data da Competência]]))</f>
        <v>2017</v>
      </c>
      <c r="M54">
        <f>IF(TbRegistroEntradas[[#This Row],[Data do Caixa Previsto]]="",0,MONTH(TbRegistroEntradas[[#This Row],[Data do Caixa Previsto]]))</f>
        <v>2</v>
      </c>
      <c r="N54">
        <f>IF(TbRegistroEntradas[[#This Row],[Data do Caixa Previsto]]="",0,YEAR(TbRegistroEntradas[[#This Row],[Data do Caixa Previsto]]))</f>
        <v>2018</v>
      </c>
      <c r="O54" t="str">
        <f ca="1">IF(AND(TbRegistroEntradas[[#This Row],[Data do Caixa Previsto]]&lt;TODAY(),TbRegistroEntradas[[#This Row],[Data do Caixa Realizado]]=""),"Vencida","Não Vencida")</f>
        <v>Não Vencida</v>
      </c>
      <c r="P54" t="str">
        <f>IF(TbRegistroEntradas[[#This Row],[Data da Competência]]=TbRegistroEntradas[[#This Row],[Data do Caixa Previsto]],"Vista","Prazo")</f>
        <v>Prazo</v>
      </c>
      <c r="Q5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55" spans="2:17" x14ac:dyDescent="0.25">
      <c r="B55" s="11" t="s">
        <v>68</v>
      </c>
      <c r="C55" s="11">
        <v>43103</v>
      </c>
      <c r="D55" s="11">
        <v>43159</v>
      </c>
      <c r="E55" t="s">
        <v>24</v>
      </c>
      <c r="F55" t="s">
        <v>34</v>
      </c>
      <c r="G55" t="s">
        <v>111</v>
      </c>
      <c r="H55" s="114">
        <v>1561</v>
      </c>
      <c r="I55">
        <f>IF(TbRegistroEntradas[[#This Row],[Data do Caixa Realizado]]="",0,MONTH(TbRegistroEntradas[[#This Row],[Data do Caixa Realizado]]))</f>
        <v>0</v>
      </c>
      <c r="J55">
        <f>IF(TbRegistroEntradas[[#This Row],[Data do Caixa Realizado]]="",0,YEAR(TbRegistroEntradas[[#This Row],[Data do Caixa Realizado]]))</f>
        <v>0</v>
      </c>
      <c r="K55">
        <f>IF(TbRegistroEntradas[[#This Row],[Data da Competência]]="",0,MONTH(TbRegistroEntradas[[#This Row],[Data da Competência]]))</f>
        <v>1</v>
      </c>
      <c r="L55">
        <f>IF(TbRegistroEntradas[[#This Row],[Data da Competência]]="",0,YEAR(TbRegistroEntradas[[#This Row],[Data da Competência]]))</f>
        <v>2018</v>
      </c>
      <c r="M55">
        <f>IF(TbRegistroEntradas[[#This Row],[Data do Caixa Previsto]]="",0,MONTH(TbRegistroEntradas[[#This Row],[Data do Caixa Previsto]]))</f>
        <v>2</v>
      </c>
      <c r="N55">
        <f>IF(TbRegistroEntradas[[#This Row],[Data do Caixa Previsto]]="",0,YEAR(TbRegistroEntradas[[#This Row],[Data do Caixa Previsto]]))</f>
        <v>2018</v>
      </c>
      <c r="O55" t="str">
        <f ca="1">IF(AND(TbRegistroEntradas[[#This Row],[Data do Caixa Previsto]]&lt;TODAY(),TbRegistroEntradas[[#This Row],[Data do Caixa Realizado]]=""),"Vencida","Não Vencida")</f>
        <v>Vencida</v>
      </c>
      <c r="P55" t="str">
        <f>IF(TbRegistroEntradas[[#This Row],[Data da Competência]]=TbRegistroEntradas[[#This Row],[Data do Caixa Previsto]],"Vista","Prazo")</f>
        <v>Prazo</v>
      </c>
      <c r="Q5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2194</v>
      </c>
    </row>
    <row r="56" spans="2:17" x14ac:dyDescent="0.25">
      <c r="B56" s="11">
        <v>43155</v>
      </c>
      <c r="C56" s="11">
        <v>43109</v>
      </c>
      <c r="D56" s="11">
        <v>43113</v>
      </c>
      <c r="E56" t="s">
        <v>24</v>
      </c>
      <c r="F56" t="s">
        <v>34</v>
      </c>
      <c r="G56" t="s">
        <v>112</v>
      </c>
      <c r="H56" s="114">
        <v>1573</v>
      </c>
      <c r="I56">
        <f>IF(TbRegistroEntradas[[#This Row],[Data do Caixa Realizado]]="",0,MONTH(TbRegistroEntradas[[#This Row],[Data do Caixa Realizado]]))</f>
        <v>2</v>
      </c>
      <c r="J56">
        <f>IF(TbRegistroEntradas[[#This Row],[Data do Caixa Realizado]]="",0,YEAR(TbRegistroEntradas[[#This Row],[Data do Caixa Realizado]]))</f>
        <v>2018</v>
      </c>
      <c r="K56">
        <f>IF(TbRegistroEntradas[[#This Row],[Data da Competência]]="",0,MONTH(TbRegistroEntradas[[#This Row],[Data da Competência]]))</f>
        <v>1</v>
      </c>
      <c r="L56">
        <f>IF(TbRegistroEntradas[[#This Row],[Data da Competência]]="",0,YEAR(TbRegistroEntradas[[#This Row],[Data da Competência]]))</f>
        <v>2018</v>
      </c>
      <c r="M56">
        <f>IF(TbRegistroEntradas[[#This Row],[Data do Caixa Previsto]]="",0,MONTH(TbRegistroEntradas[[#This Row],[Data do Caixa Previsto]]))</f>
        <v>1</v>
      </c>
      <c r="N56">
        <f>IF(TbRegistroEntradas[[#This Row],[Data do Caixa Previsto]]="",0,YEAR(TbRegistroEntradas[[#This Row],[Data do Caixa Previsto]]))</f>
        <v>2018</v>
      </c>
      <c r="O56" t="str">
        <f ca="1">IF(AND(TbRegistroEntradas[[#This Row],[Data do Caixa Previsto]]&lt;TODAY(),TbRegistroEntradas[[#This Row],[Data do Caixa Realizado]]=""),"Vencida","Não Vencida")</f>
        <v>Não Vencida</v>
      </c>
      <c r="P56" t="str">
        <f>IF(TbRegistroEntradas[[#This Row],[Data da Competência]]=TbRegistroEntradas[[#This Row],[Data do Caixa Previsto]],"Vista","Prazo")</f>
        <v>Prazo</v>
      </c>
      <c r="Q5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42</v>
      </c>
    </row>
    <row r="57" spans="2:17" x14ac:dyDescent="0.25">
      <c r="B57" s="11">
        <v>43117</v>
      </c>
      <c r="C57" s="11">
        <v>43117</v>
      </c>
      <c r="D57" s="11">
        <v>43117</v>
      </c>
      <c r="E57" t="s">
        <v>24</v>
      </c>
      <c r="F57" t="s">
        <v>34</v>
      </c>
      <c r="G57" t="s">
        <v>113</v>
      </c>
      <c r="H57" s="114">
        <v>1364</v>
      </c>
      <c r="I57">
        <f>IF(TbRegistroEntradas[[#This Row],[Data do Caixa Realizado]]="",0,MONTH(TbRegistroEntradas[[#This Row],[Data do Caixa Realizado]]))</f>
        <v>1</v>
      </c>
      <c r="J57">
        <f>IF(TbRegistroEntradas[[#This Row],[Data do Caixa Realizado]]="",0,YEAR(TbRegistroEntradas[[#This Row],[Data do Caixa Realizado]]))</f>
        <v>2018</v>
      </c>
      <c r="K57">
        <f>IF(TbRegistroEntradas[[#This Row],[Data da Competência]]="",0,MONTH(TbRegistroEntradas[[#This Row],[Data da Competência]]))</f>
        <v>1</v>
      </c>
      <c r="L57">
        <f>IF(TbRegistroEntradas[[#This Row],[Data da Competência]]="",0,YEAR(TbRegistroEntradas[[#This Row],[Data da Competência]]))</f>
        <v>2018</v>
      </c>
      <c r="M57">
        <f>IF(TbRegistroEntradas[[#This Row],[Data do Caixa Previsto]]="",0,MONTH(TbRegistroEntradas[[#This Row],[Data do Caixa Previsto]]))</f>
        <v>1</v>
      </c>
      <c r="N57">
        <f>IF(TbRegistroEntradas[[#This Row],[Data do Caixa Previsto]]="",0,YEAR(TbRegistroEntradas[[#This Row],[Data do Caixa Previsto]]))</f>
        <v>2018</v>
      </c>
      <c r="O57" t="str">
        <f ca="1">IF(AND(TbRegistroEntradas[[#This Row],[Data do Caixa Previsto]]&lt;TODAY(),TbRegistroEntradas[[#This Row],[Data do Caixa Realizado]]=""),"Vencida","Não Vencida")</f>
        <v>Não Vencida</v>
      </c>
      <c r="P57" t="str">
        <f>IF(TbRegistroEntradas[[#This Row],[Data da Competência]]=TbRegistroEntradas[[#This Row],[Data do Caixa Previsto]],"Vista","Prazo")</f>
        <v>Vista</v>
      </c>
      <c r="Q5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58" spans="2:17" x14ac:dyDescent="0.25">
      <c r="B58" s="11">
        <v>43166</v>
      </c>
      <c r="C58" s="11">
        <v>43121</v>
      </c>
      <c r="D58" s="11">
        <v>43166</v>
      </c>
      <c r="E58" t="s">
        <v>24</v>
      </c>
      <c r="F58" t="s">
        <v>35</v>
      </c>
      <c r="G58" t="s">
        <v>114</v>
      </c>
      <c r="H58" s="114">
        <v>783</v>
      </c>
      <c r="I58">
        <f>IF(TbRegistroEntradas[[#This Row],[Data do Caixa Realizado]]="",0,MONTH(TbRegistroEntradas[[#This Row],[Data do Caixa Realizado]]))</f>
        <v>3</v>
      </c>
      <c r="J58">
        <f>IF(TbRegistroEntradas[[#This Row],[Data do Caixa Realizado]]="",0,YEAR(TbRegistroEntradas[[#This Row],[Data do Caixa Realizado]]))</f>
        <v>2018</v>
      </c>
      <c r="K58">
        <f>IF(TbRegistroEntradas[[#This Row],[Data da Competência]]="",0,MONTH(TbRegistroEntradas[[#This Row],[Data da Competência]]))</f>
        <v>1</v>
      </c>
      <c r="L58">
        <f>IF(TbRegistroEntradas[[#This Row],[Data da Competência]]="",0,YEAR(TbRegistroEntradas[[#This Row],[Data da Competência]]))</f>
        <v>2018</v>
      </c>
      <c r="M58">
        <f>IF(TbRegistroEntradas[[#This Row],[Data do Caixa Previsto]]="",0,MONTH(TbRegistroEntradas[[#This Row],[Data do Caixa Previsto]]))</f>
        <v>3</v>
      </c>
      <c r="N58">
        <f>IF(TbRegistroEntradas[[#This Row],[Data do Caixa Previsto]]="",0,YEAR(TbRegistroEntradas[[#This Row],[Data do Caixa Previsto]]))</f>
        <v>2018</v>
      </c>
      <c r="O58" t="str">
        <f ca="1">IF(AND(TbRegistroEntradas[[#This Row],[Data do Caixa Previsto]]&lt;TODAY(),TbRegistroEntradas[[#This Row],[Data do Caixa Realizado]]=""),"Vencida","Não Vencida")</f>
        <v>Não Vencida</v>
      </c>
      <c r="P58" t="str">
        <f>IF(TbRegistroEntradas[[#This Row],[Data da Competência]]=TbRegistroEntradas[[#This Row],[Data do Caixa Previsto]],"Vista","Prazo")</f>
        <v>Prazo</v>
      </c>
      <c r="Q5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59" spans="2:17" x14ac:dyDescent="0.25">
      <c r="B59" s="11">
        <v>43145</v>
      </c>
      <c r="C59" s="11">
        <v>43122</v>
      </c>
      <c r="D59" s="11">
        <v>43145</v>
      </c>
      <c r="E59" t="s">
        <v>24</v>
      </c>
      <c r="F59" t="s">
        <v>35</v>
      </c>
      <c r="G59" t="s">
        <v>115</v>
      </c>
      <c r="H59" s="114">
        <v>3928</v>
      </c>
      <c r="I59">
        <f>IF(TbRegistroEntradas[[#This Row],[Data do Caixa Realizado]]="",0,MONTH(TbRegistroEntradas[[#This Row],[Data do Caixa Realizado]]))</f>
        <v>2</v>
      </c>
      <c r="J59">
        <f>IF(TbRegistroEntradas[[#This Row],[Data do Caixa Realizado]]="",0,YEAR(TbRegistroEntradas[[#This Row],[Data do Caixa Realizado]]))</f>
        <v>2018</v>
      </c>
      <c r="K59">
        <f>IF(TbRegistroEntradas[[#This Row],[Data da Competência]]="",0,MONTH(TbRegistroEntradas[[#This Row],[Data da Competência]]))</f>
        <v>1</v>
      </c>
      <c r="L59">
        <f>IF(TbRegistroEntradas[[#This Row],[Data da Competência]]="",0,YEAR(TbRegistroEntradas[[#This Row],[Data da Competência]]))</f>
        <v>2018</v>
      </c>
      <c r="M59">
        <f>IF(TbRegistroEntradas[[#This Row],[Data do Caixa Previsto]]="",0,MONTH(TbRegistroEntradas[[#This Row],[Data do Caixa Previsto]]))</f>
        <v>2</v>
      </c>
      <c r="N59">
        <f>IF(TbRegistroEntradas[[#This Row],[Data do Caixa Previsto]]="",0,YEAR(TbRegistroEntradas[[#This Row],[Data do Caixa Previsto]]))</f>
        <v>2018</v>
      </c>
      <c r="O59" t="str">
        <f ca="1">IF(AND(TbRegistroEntradas[[#This Row],[Data do Caixa Previsto]]&lt;TODAY(),TbRegistroEntradas[[#This Row],[Data do Caixa Realizado]]=""),"Vencida","Não Vencida")</f>
        <v>Não Vencida</v>
      </c>
      <c r="P59" t="str">
        <f>IF(TbRegistroEntradas[[#This Row],[Data da Competência]]=TbRegistroEntradas[[#This Row],[Data do Caixa Previsto]],"Vista","Prazo")</f>
        <v>Prazo</v>
      </c>
      <c r="Q5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60" spans="2:17" x14ac:dyDescent="0.25">
      <c r="B60" s="11">
        <v>43142</v>
      </c>
      <c r="C60" s="11">
        <v>43124</v>
      </c>
      <c r="D60" s="11">
        <v>43142</v>
      </c>
      <c r="E60" t="s">
        <v>24</v>
      </c>
      <c r="F60" t="s">
        <v>32</v>
      </c>
      <c r="G60" t="s">
        <v>116</v>
      </c>
      <c r="H60" s="114">
        <v>3843</v>
      </c>
      <c r="I60">
        <f>IF(TbRegistroEntradas[[#This Row],[Data do Caixa Realizado]]="",0,MONTH(TbRegistroEntradas[[#This Row],[Data do Caixa Realizado]]))</f>
        <v>2</v>
      </c>
      <c r="J60">
        <f>IF(TbRegistroEntradas[[#This Row],[Data do Caixa Realizado]]="",0,YEAR(TbRegistroEntradas[[#This Row],[Data do Caixa Realizado]]))</f>
        <v>2018</v>
      </c>
      <c r="K60">
        <f>IF(TbRegistroEntradas[[#This Row],[Data da Competência]]="",0,MONTH(TbRegistroEntradas[[#This Row],[Data da Competência]]))</f>
        <v>1</v>
      </c>
      <c r="L60">
        <f>IF(TbRegistroEntradas[[#This Row],[Data da Competência]]="",0,YEAR(TbRegistroEntradas[[#This Row],[Data da Competência]]))</f>
        <v>2018</v>
      </c>
      <c r="M60">
        <f>IF(TbRegistroEntradas[[#This Row],[Data do Caixa Previsto]]="",0,MONTH(TbRegistroEntradas[[#This Row],[Data do Caixa Previsto]]))</f>
        <v>2</v>
      </c>
      <c r="N60">
        <f>IF(TbRegistroEntradas[[#This Row],[Data do Caixa Previsto]]="",0,YEAR(TbRegistroEntradas[[#This Row],[Data do Caixa Previsto]]))</f>
        <v>2018</v>
      </c>
      <c r="O60" t="str">
        <f ca="1">IF(AND(TbRegistroEntradas[[#This Row],[Data do Caixa Previsto]]&lt;TODAY(),TbRegistroEntradas[[#This Row],[Data do Caixa Realizado]]=""),"Vencida","Não Vencida")</f>
        <v>Não Vencida</v>
      </c>
      <c r="P60" t="str">
        <f>IF(TbRegistroEntradas[[#This Row],[Data da Competência]]=TbRegistroEntradas[[#This Row],[Data do Caixa Previsto]],"Vista","Prazo")</f>
        <v>Prazo</v>
      </c>
      <c r="Q6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61" spans="2:17" x14ac:dyDescent="0.25">
      <c r="B61" s="11">
        <v>43206</v>
      </c>
      <c r="C61" s="11">
        <v>43125</v>
      </c>
      <c r="D61" s="11">
        <v>43129</v>
      </c>
      <c r="E61" t="s">
        <v>24</v>
      </c>
      <c r="F61" t="s">
        <v>31</v>
      </c>
      <c r="G61" t="s">
        <v>117</v>
      </c>
      <c r="H61" s="114">
        <v>1864</v>
      </c>
      <c r="I61">
        <f>IF(TbRegistroEntradas[[#This Row],[Data do Caixa Realizado]]="",0,MONTH(TbRegistroEntradas[[#This Row],[Data do Caixa Realizado]]))</f>
        <v>4</v>
      </c>
      <c r="J61">
        <f>IF(TbRegistroEntradas[[#This Row],[Data do Caixa Realizado]]="",0,YEAR(TbRegistroEntradas[[#This Row],[Data do Caixa Realizado]]))</f>
        <v>2018</v>
      </c>
      <c r="K61">
        <f>IF(TbRegistroEntradas[[#This Row],[Data da Competência]]="",0,MONTH(TbRegistroEntradas[[#This Row],[Data da Competência]]))</f>
        <v>1</v>
      </c>
      <c r="L61">
        <f>IF(TbRegistroEntradas[[#This Row],[Data da Competência]]="",0,YEAR(TbRegistroEntradas[[#This Row],[Data da Competência]]))</f>
        <v>2018</v>
      </c>
      <c r="M61">
        <f>IF(TbRegistroEntradas[[#This Row],[Data do Caixa Previsto]]="",0,MONTH(TbRegistroEntradas[[#This Row],[Data do Caixa Previsto]]))</f>
        <v>1</v>
      </c>
      <c r="N61">
        <f>IF(TbRegistroEntradas[[#This Row],[Data do Caixa Previsto]]="",0,YEAR(TbRegistroEntradas[[#This Row],[Data do Caixa Previsto]]))</f>
        <v>2018</v>
      </c>
      <c r="O61" t="str">
        <f ca="1">IF(AND(TbRegistroEntradas[[#This Row],[Data do Caixa Previsto]]&lt;TODAY(),TbRegistroEntradas[[#This Row],[Data do Caixa Realizado]]=""),"Vencida","Não Vencida")</f>
        <v>Não Vencida</v>
      </c>
      <c r="P61" t="str">
        <f>IF(TbRegistroEntradas[[#This Row],[Data da Competência]]=TbRegistroEntradas[[#This Row],[Data do Caixa Previsto]],"Vista","Prazo")</f>
        <v>Prazo</v>
      </c>
      <c r="Q6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77</v>
      </c>
    </row>
    <row r="62" spans="2:17" x14ac:dyDescent="0.25">
      <c r="B62" s="11">
        <v>43137</v>
      </c>
      <c r="C62" s="11">
        <v>43128</v>
      </c>
      <c r="D62" s="11">
        <v>43128</v>
      </c>
      <c r="E62" t="s">
        <v>24</v>
      </c>
      <c r="F62" t="s">
        <v>34</v>
      </c>
      <c r="G62" t="s">
        <v>118</v>
      </c>
      <c r="H62" s="114">
        <v>1184</v>
      </c>
      <c r="I62">
        <f>IF(TbRegistroEntradas[[#This Row],[Data do Caixa Realizado]]="",0,MONTH(TbRegistroEntradas[[#This Row],[Data do Caixa Realizado]]))</f>
        <v>2</v>
      </c>
      <c r="J62">
        <f>IF(TbRegistroEntradas[[#This Row],[Data do Caixa Realizado]]="",0,YEAR(TbRegistroEntradas[[#This Row],[Data do Caixa Realizado]]))</f>
        <v>2018</v>
      </c>
      <c r="K62">
        <f>IF(TbRegistroEntradas[[#This Row],[Data da Competência]]="",0,MONTH(TbRegistroEntradas[[#This Row],[Data da Competência]]))</f>
        <v>1</v>
      </c>
      <c r="L62">
        <f>IF(TbRegistroEntradas[[#This Row],[Data da Competência]]="",0,YEAR(TbRegistroEntradas[[#This Row],[Data da Competência]]))</f>
        <v>2018</v>
      </c>
      <c r="M62">
        <f>IF(TbRegistroEntradas[[#This Row],[Data do Caixa Previsto]]="",0,MONTH(TbRegistroEntradas[[#This Row],[Data do Caixa Previsto]]))</f>
        <v>1</v>
      </c>
      <c r="N62">
        <f>IF(TbRegistroEntradas[[#This Row],[Data do Caixa Previsto]]="",0,YEAR(TbRegistroEntradas[[#This Row],[Data do Caixa Previsto]]))</f>
        <v>2018</v>
      </c>
      <c r="O62" t="str">
        <f ca="1">IF(AND(TbRegistroEntradas[[#This Row],[Data do Caixa Previsto]]&lt;TODAY(),TbRegistroEntradas[[#This Row],[Data do Caixa Realizado]]=""),"Vencida","Não Vencida")</f>
        <v>Não Vencida</v>
      </c>
      <c r="P62" t="str">
        <f>IF(TbRegistroEntradas[[#This Row],[Data da Competência]]=TbRegistroEntradas[[#This Row],[Data do Caixa Previsto]],"Vista","Prazo")</f>
        <v>Vista</v>
      </c>
      <c r="Q6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9</v>
      </c>
    </row>
    <row r="63" spans="2:17" x14ac:dyDescent="0.25">
      <c r="B63" s="11">
        <v>43161</v>
      </c>
      <c r="C63" s="11">
        <v>43129</v>
      </c>
      <c r="D63" s="11">
        <v>43161</v>
      </c>
      <c r="E63" t="s">
        <v>24</v>
      </c>
      <c r="F63" t="s">
        <v>34</v>
      </c>
      <c r="G63" t="s">
        <v>119</v>
      </c>
      <c r="H63" s="114">
        <v>4055</v>
      </c>
      <c r="I63">
        <f>IF(TbRegistroEntradas[[#This Row],[Data do Caixa Realizado]]="",0,MONTH(TbRegistroEntradas[[#This Row],[Data do Caixa Realizado]]))</f>
        <v>3</v>
      </c>
      <c r="J63">
        <f>IF(TbRegistroEntradas[[#This Row],[Data do Caixa Realizado]]="",0,YEAR(TbRegistroEntradas[[#This Row],[Data do Caixa Realizado]]))</f>
        <v>2018</v>
      </c>
      <c r="K63">
        <f>IF(TbRegistroEntradas[[#This Row],[Data da Competência]]="",0,MONTH(TbRegistroEntradas[[#This Row],[Data da Competência]]))</f>
        <v>1</v>
      </c>
      <c r="L63">
        <f>IF(TbRegistroEntradas[[#This Row],[Data da Competência]]="",0,YEAR(TbRegistroEntradas[[#This Row],[Data da Competência]]))</f>
        <v>2018</v>
      </c>
      <c r="M63">
        <f>IF(TbRegistroEntradas[[#This Row],[Data do Caixa Previsto]]="",0,MONTH(TbRegistroEntradas[[#This Row],[Data do Caixa Previsto]]))</f>
        <v>3</v>
      </c>
      <c r="N63">
        <f>IF(TbRegistroEntradas[[#This Row],[Data do Caixa Previsto]]="",0,YEAR(TbRegistroEntradas[[#This Row],[Data do Caixa Previsto]]))</f>
        <v>2018</v>
      </c>
      <c r="O63" t="str">
        <f ca="1">IF(AND(TbRegistroEntradas[[#This Row],[Data do Caixa Previsto]]&lt;TODAY(),TbRegistroEntradas[[#This Row],[Data do Caixa Realizado]]=""),"Vencida","Não Vencida")</f>
        <v>Não Vencida</v>
      </c>
      <c r="P63" t="str">
        <f>IF(TbRegistroEntradas[[#This Row],[Data da Competência]]=TbRegistroEntradas[[#This Row],[Data do Caixa Previsto]],"Vista","Prazo")</f>
        <v>Prazo</v>
      </c>
      <c r="Q6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64" spans="2:17" x14ac:dyDescent="0.25">
      <c r="B64" s="11">
        <v>43178</v>
      </c>
      <c r="C64" s="11">
        <v>43130</v>
      </c>
      <c r="D64" s="11">
        <v>43178</v>
      </c>
      <c r="E64" t="s">
        <v>24</v>
      </c>
      <c r="F64" t="s">
        <v>34</v>
      </c>
      <c r="G64" t="s">
        <v>120</v>
      </c>
      <c r="H64" s="114">
        <v>427</v>
      </c>
      <c r="I64">
        <f>IF(TbRegistroEntradas[[#This Row],[Data do Caixa Realizado]]="",0,MONTH(TbRegistroEntradas[[#This Row],[Data do Caixa Realizado]]))</f>
        <v>3</v>
      </c>
      <c r="J64">
        <f>IF(TbRegistroEntradas[[#This Row],[Data do Caixa Realizado]]="",0,YEAR(TbRegistroEntradas[[#This Row],[Data do Caixa Realizado]]))</f>
        <v>2018</v>
      </c>
      <c r="K64">
        <f>IF(TbRegistroEntradas[[#This Row],[Data da Competência]]="",0,MONTH(TbRegistroEntradas[[#This Row],[Data da Competência]]))</f>
        <v>1</v>
      </c>
      <c r="L64">
        <f>IF(TbRegistroEntradas[[#This Row],[Data da Competência]]="",0,YEAR(TbRegistroEntradas[[#This Row],[Data da Competência]]))</f>
        <v>2018</v>
      </c>
      <c r="M64">
        <f>IF(TbRegistroEntradas[[#This Row],[Data do Caixa Previsto]]="",0,MONTH(TbRegistroEntradas[[#This Row],[Data do Caixa Previsto]]))</f>
        <v>3</v>
      </c>
      <c r="N64">
        <f>IF(TbRegistroEntradas[[#This Row],[Data do Caixa Previsto]]="",0,YEAR(TbRegistroEntradas[[#This Row],[Data do Caixa Previsto]]))</f>
        <v>2018</v>
      </c>
      <c r="O64" t="str">
        <f ca="1">IF(AND(TbRegistroEntradas[[#This Row],[Data do Caixa Previsto]]&lt;TODAY(),TbRegistroEntradas[[#This Row],[Data do Caixa Realizado]]=""),"Vencida","Não Vencida")</f>
        <v>Não Vencida</v>
      </c>
      <c r="P64" t="str">
        <f>IF(TbRegistroEntradas[[#This Row],[Data da Competência]]=TbRegistroEntradas[[#This Row],[Data do Caixa Previsto]],"Vista","Prazo")</f>
        <v>Prazo</v>
      </c>
      <c r="Q6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65" spans="2:17" x14ac:dyDescent="0.25">
      <c r="B65" s="11">
        <v>43138</v>
      </c>
      <c r="C65" s="11">
        <v>43133</v>
      </c>
      <c r="D65" s="11">
        <v>43138</v>
      </c>
      <c r="E65" t="s">
        <v>24</v>
      </c>
      <c r="F65" t="s">
        <v>33</v>
      </c>
      <c r="G65" t="s">
        <v>121</v>
      </c>
      <c r="H65" s="114">
        <v>460</v>
      </c>
      <c r="I65">
        <f>IF(TbRegistroEntradas[[#This Row],[Data do Caixa Realizado]]="",0,MONTH(TbRegistroEntradas[[#This Row],[Data do Caixa Realizado]]))</f>
        <v>2</v>
      </c>
      <c r="J65">
        <f>IF(TbRegistroEntradas[[#This Row],[Data do Caixa Realizado]]="",0,YEAR(TbRegistroEntradas[[#This Row],[Data do Caixa Realizado]]))</f>
        <v>2018</v>
      </c>
      <c r="K65">
        <f>IF(TbRegistroEntradas[[#This Row],[Data da Competência]]="",0,MONTH(TbRegistroEntradas[[#This Row],[Data da Competência]]))</f>
        <v>2</v>
      </c>
      <c r="L65">
        <f>IF(TbRegistroEntradas[[#This Row],[Data da Competência]]="",0,YEAR(TbRegistroEntradas[[#This Row],[Data da Competência]]))</f>
        <v>2018</v>
      </c>
      <c r="M65">
        <f>IF(TbRegistroEntradas[[#This Row],[Data do Caixa Previsto]]="",0,MONTH(TbRegistroEntradas[[#This Row],[Data do Caixa Previsto]]))</f>
        <v>2</v>
      </c>
      <c r="N65">
        <f>IF(TbRegistroEntradas[[#This Row],[Data do Caixa Previsto]]="",0,YEAR(TbRegistroEntradas[[#This Row],[Data do Caixa Previsto]]))</f>
        <v>2018</v>
      </c>
      <c r="O65" t="str">
        <f ca="1">IF(AND(TbRegistroEntradas[[#This Row],[Data do Caixa Previsto]]&lt;TODAY(),TbRegistroEntradas[[#This Row],[Data do Caixa Realizado]]=""),"Vencida","Não Vencida")</f>
        <v>Não Vencida</v>
      </c>
      <c r="P65" t="str">
        <f>IF(TbRegistroEntradas[[#This Row],[Data da Competência]]=TbRegistroEntradas[[#This Row],[Data do Caixa Previsto]],"Vista","Prazo")</f>
        <v>Prazo</v>
      </c>
      <c r="Q6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66" spans="2:17" x14ac:dyDescent="0.25">
      <c r="B66" s="11" t="s">
        <v>68</v>
      </c>
      <c r="C66" s="11">
        <v>43136</v>
      </c>
      <c r="D66" s="11">
        <v>43190</v>
      </c>
      <c r="E66" t="s">
        <v>24</v>
      </c>
      <c r="F66" t="s">
        <v>35</v>
      </c>
      <c r="G66" t="s">
        <v>122</v>
      </c>
      <c r="H66" s="114">
        <v>964</v>
      </c>
      <c r="I66">
        <f>IF(TbRegistroEntradas[[#This Row],[Data do Caixa Realizado]]="",0,MONTH(TbRegistroEntradas[[#This Row],[Data do Caixa Realizado]]))</f>
        <v>0</v>
      </c>
      <c r="J66">
        <f>IF(TbRegistroEntradas[[#This Row],[Data do Caixa Realizado]]="",0,YEAR(TbRegistroEntradas[[#This Row],[Data do Caixa Realizado]]))</f>
        <v>0</v>
      </c>
      <c r="K66">
        <f>IF(TbRegistroEntradas[[#This Row],[Data da Competência]]="",0,MONTH(TbRegistroEntradas[[#This Row],[Data da Competência]]))</f>
        <v>2</v>
      </c>
      <c r="L66">
        <f>IF(TbRegistroEntradas[[#This Row],[Data da Competência]]="",0,YEAR(TbRegistroEntradas[[#This Row],[Data da Competência]]))</f>
        <v>2018</v>
      </c>
      <c r="M66">
        <f>IF(TbRegistroEntradas[[#This Row],[Data do Caixa Previsto]]="",0,MONTH(TbRegistroEntradas[[#This Row],[Data do Caixa Previsto]]))</f>
        <v>3</v>
      </c>
      <c r="N66">
        <f>IF(TbRegistroEntradas[[#This Row],[Data do Caixa Previsto]]="",0,YEAR(TbRegistroEntradas[[#This Row],[Data do Caixa Previsto]]))</f>
        <v>2018</v>
      </c>
      <c r="O66" t="str">
        <f ca="1">IF(AND(TbRegistroEntradas[[#This Row],[Data do Caixa Previsto]]&lt;TODAY(),TbRegistroEntradas[[#This Row],[Data do Caixa Realizado]]=""),"Vencida","Não Vencida")</f>
        <v>Vencida</v>
      </c>
      <c r="P66" t="str">
        <f>IF(TbRegistroEntradas[[#This Row],[Data da Competência]]=TbRegistroEntradas[[#This Row],[Data do Caixa Previsto]],"Vista","Prazo")</f>
        <v>Prazo</v>
      </c>
      <c r="Q6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2163</v>
      </c>
    </row>
    <row r="67" spans="2:17" x14ac:dyDescent="0.25">
      <c r="B67" s="11">
        <v>43145</v>
      </c>
      <c r="C67" s="11">
        <v>43140</v>
      </c>
      <c r="D67" s="11">
        <v>43145</v>
      </c>
      <c r="E67" t="s">
        <v>24</v>
      </c>
      <c r="F67" t="s">
        <v>34</v>
      </c>
      <c r="G67" t="s">
        <v>123</v>
      </c>
      <c r="H67" s="114">
        <v>3412</v>
      </c>
      <c r="I67">
        <f>IF(TbRegistroEntradas[[#This Row],[Data do Caixa Realizado]]="",0,MONTH(TbRegistroEntradas[[#This Row],[Data do Caixa Realizado]]))</f>
        <v>2</v>
      </c>
      <c r="J67">
        <f>IF(TbRegistroEntradas[[#This Row],[Data do Caixa Realizado]]="",0,YEAR(TbRegistroEntradas[[#This Row],[Data do Caixa Realizado]]))</f>
        <v>2018</v>
      </c>
      <c r="K67">
        <f>IF(TbRegistroEntradas[[#This Row],[Data da Competência]]="",0,MONTH(TbRegistroEntradas[[#This Row],[Data da Competência]]))</f>
        <v>2</v>
      </c>
      <c r="L67">
        <f>IF(TbRegistroEntradas[[#This Row],[Data da Competência]]="",0,YEAR(TbRegistroEntradas[[#This Row],[Data da Competência]]))</f>
        <v>2018</v>
      </c>
      <c r="M67">
        <f>IF(TbRegistroEntradas[[#This Row],[Data do Caixa Previsto]]="",0,MONTH(TbRegistroEntradas[[#This Row],[Data do Caixa Previsto]]))</f>
        <v>2</v>
      </c>
      <c r="N67">
        <f>IF(TbRegistroEntradas[[#This Row],[Data do Caixa Previsto]]="",0,YEAR(TbRegistroEntradas[[#This Row],[Data do Caixa Previsto]]))</f>
        <v>2018</v>
      </c>
      <c r="O67" t="str">
        <f ca="1">IF(AND(TbRegistroEntradas[[#This Row],[Data do Caixa Previsto]]&lt;TODAY(),TbRegistroEntradas[[#This Row],[Data do Caixa Realizado]]=""),"Vencida","Não Vencida")</f>
        <v>Não Vencida</v>
      </c>
      <c r="P67" t="str">
        <f>IF(TbRegistroEntradas[[#This Row],[Data da Competência]]=TbRegistroEntradas[[#This Row],[Data do Caixa Previsto]],"Vista","Prazo")</f>
        <v>Prazo</v>
      </c>
      <c r="Q6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68" spans="2:17" x14ac:dyDescent="0.25">
      <c r="B68" s="11">
        <v>43146</v>
      </c>
      <c r="C68" s="11">
        <v>43142</v>
      </c>
      <c r="D68" s="11">
        <v>43146</v>
      </c>
      <c r="E68" t="s">
        <v>24</v>
      </c>
      <c r="F68" t="s">
        <v>32</v>
      </c>
      <c r="G68" t="s">
        <v>124</v>
      </c>
      <c r="H68" s="114">
        <v>3095</v>
      </c>
      <c r="I68">
        <f>IF(TbRegistroEntradas[[#This Row],[Data do Caixa Realizado]]="",0,MONTH(TbRegistroEntradas[[#This Row],[Data do Caixa Realizado]]))</f>
        <v>2</v>
      </c>
      <c r="J68">
        <f>IF(TbRegistroEntradas[[#This Row],[Data do Caixa Realizado]]="",0,YEAR(TbRegistroEntradas[[#This Row],[Data do Caixa Realizado]]))</f>
        <v>2018</v>
      </c>
      <c r="K68">
        <f>IF(TbRegistroEntradas[[#This Row],[Data da Competência]]="",0,MONTH(TbRegistroEntradas[[#This Row],[Data da Competência]]))</f>
        <v>2</v>
      </c>
      <c r="L68">
        <f>IF(TbRegistroEntradas[[#This Row],[Data da Competência]]="",0,YEAR(TbRegistroEntradas[[#This Row],[Data da Competência]]))</f>
        <v>2018</v>
      </c>
      <c r="M68">
        <f>IF(TbRegistroEntradas[[#This Row],[Data do Caixa Previsto]]="",0,MONTH(TbRegistroEntradas[[#This Row],[Data do Caixa Previsto]]))</f>
        <v>2</v>
      </c>
      <c r="N68">
        <f>IF(TbRegistroEntradas[[#This Row],[Data do Caixa Previsto]]="",0,YEAR(TbRegistroEntradas[[#This Row],[Data do Caixa Previsto]]))</f>
        <v>2018</v>
      </c>
      <c r="O68" t="str">
        <f ca="1">IF(AND(TbRegistroEntradas[[#This Row],[Data do Caixa Previsto]]&lt;TODAY(),TbRegistroEntradas[[#This Row],[Data do Caixa Realizado]]=""),"Vencida","Não Vencida")</f>
        <v>Não Vencida</v>
      </c>
      <c r="P68" t="str">
        <f>IF(TbRegistroEntradas[[#This Row],[Data da Competência]]=TbRegistroEntradas[[#This Row],[Data do Caixa Previsto]],"Vista","Prazo")</f>
        <v>Prazo</v>
      </c>
      <c r="Q6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69" spans="2:17" x14ac:dyDescent="0.25">
      <c r="B69" s="11">
        <v>43193</v>
      </c>
      <c r="C69" s="11">
        <v>43148</v>
      </c>
      <c r="D69" s="11">
        <v>43193</v>
      </c>
      <c r="E69" t="s">
        <v>24</v>
      </c>
      <c r="F69" t="s">
        <v>33</v>
      </c>
      <c r="G69" t="s">
        <v>125</v>
      </c>
      <c r="H69" s="114">
        <v>1532</v>
      </c>
      <c r="I69">
        <f>IF(TbRegistroEntradas[[#This Row],[Data do Caixa Realizado]]="",0,MONTH(TbRegistroEntradas[[#This Row],[Data do Caixa Realizado]]))</f>
        <v>4</v>
      </c>
      <c r="J69">
        <f>IF(TbRegistroEntradas[[#This Row],[Data do Caixa Realizado]]="",0,YEAR(TbRegistroEntradas[[#This Row],[Data do Caixa Realizado]]))</f>
        <v>2018</v>
      </c>
      <c r="K69">
        <f>IF(TbRegistroEntradas[[#This Row],[Data da Competência]]="",0,MONTH(TbRegistroEntradas[[#This Row],[Data da Competência]]))</f>
        <v>2</v>
      </c>
      <c r="L69">
        <f>IF(TbRegistroEntradas[[#This Row],[Data da Competência]]="",0,YEAR(TbRegistroEntradas[[#This Row],[Data da Competência]]))</f>
        <v>2018</v>
      </c>
      <c r="M69">
        <f>IF(TbRegistroEntradas[[#This Row],[Data do Caixa Previsto]]="",0,MONTH(TbRegistroEntradas[[#This Row],[Data do Caixa Previsto]]))</f>
        <v>4</v>
      </c>
      <c r="N69">
        <f>IF(TbRegistroEntradas[[#This Row],[Data do Caixa Previsto]]="",0,YEAR(TbRegistroEntradas[[#This Row],[Data do Caixa Previsto]]))</f>
        <v>2018</v>
      </c>
      <c r="O69" t="str">
        <f ca="1">IF(AND(TbRegistroEntradas[[#This Row],[Data do Caixa Previsto]]&lt;TODAY(),TbRegistroEntradas[[#This Row],[Data do Caixa Realizado]]=""),"Vencida","Não Vencida")</f>
        <v>Não Vencida</v>
      </c>
      <c r="P69" t="str">
        <f>IF(TbRegistroEntradas[[#This Row],[Data da Competência]]=TbRegistroEntradas[[#This Row],[Data do Caixa Previsto]],"Vista","Prazo")</f>
        <v>Prazo</v>
      </c>
      <c r="Q6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70" spans="2:17" x14ac:dyDescent="0.25">
      <c r="B70" s="11">
        <v>43193</v>
      </c>
      <c r="C70" s="11">
        <v>43151</v>
      </c>
      <c r="D70" s="11">
        <v>43193</v>
      </c>
      <c r="E70" t="s">
        <v>24</v>
      </c>
      <c r="F70" t="s">
        <v>33</v>
      </c>
      <c r="G70" t="s">
        <v>126</v>
      </c>
      <c r="H70" s="114">
        <v>3726</v>
      </c>
      <c r="I70">
        <f>IF(TbRegistroEntradas[[#This Row],[Data do Caixa Realizado]]="",0,MONTH(TbRegistroEntradas[[#This Row],[Data do Caixa Realizado]]))</f>
        <v>4</v>
      </c>
      <c r="J70">
        <f>IF(TbRegistroEntradas[[#This Row],[Data do Caixa Realizado]]="",0,YEAR(TbRegistroEntradas[[#This Row],[Data do Caixa Realizado]]))</f>
        <v>2018</v>
      </c>
      <c r="K70">
        <f>IF(TbRegistroEntradas[[#This Row],[Data da Competência]]="",0,MONTH(TbRegistroEntradas[[#This Row],[Data da Competência]]))</f>
        <v>2</v>
      </c>
      <c r="L70">
        <f>IF(TbRegistroEntradas[[#This Row],[Data da Competência]]="",0,YEAR(TbRegistroEntradas[[#This Row],[Data da Competência]]))</f>
        <v>2018</v>
      </c>
      <c r="M70">
        <f>IF(TbRegistroEntradas[[#This Row],[Data do Caixa Previsto]]="",0,MONTH(TbRegistroEntradas[[#This Row],[Data do Caixa Previsto]]))</f>
        <v>4</v>
      </c>
      <c r="N70">
        <f>IF(TbRegistroEntradas[[#This Row],[Data do Caixa Previsto]]="",0,YEAR(TbRegistroEntradas[[#This Row],[Data do Caixa Previsto]]))</f>
        <v>2018</v>
      </c>
      <c r="O70" t="str">
        <f ca="1">IF(AND(TbRegistroEntradas[[#This Row],[Data do Caixa Previsto]]&lt;TODAY(),TbRegistroEntradas[[#This Row],[Data do Caixa Realizado]]=""),"Vencida","Não Vencida")</f>
        <v>Não Vencida</v>
      </c>
      <c r="P70" t="str">
        <f>IF(TbRegistroEntradas[[#This Row],[Data da Competência]]=TbRegistroEntradas[[#This Row],[Data do Caixa Previsto]],"Vista","Prazo")</f>
        <v>Prazo</v>
      </c>
      <c r="Q7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71" spans="2:17" x14ac:dyDescent="0.25">
      <c r="B71" s="11">
        <v>43154</v>
      </c>
      <c r="C71" s="11">
        <v>43154</v>
      </c>
      <c r="D71" s="11">
        <v>43154</v>
      </c>
      <c r="E71" t="s">
        <v>24</v>
      </c>
      <c r="F71" t="s">
        <v>34</v>
      </c>
      <c r="G71" t="s">
        <v>127</v>
      </c>
      <c r="H71" s="114">
        <v>4322</v>
      </c>
      <c r="I71">
        <f>IF(TbRegistroEntradas[[#This Row],[Data do Caixa Realizado]]="",0,MONTH(TbRegistroEntradas[[#This Row],[Data do Caixa Realizado]]))</f>
        <v>2</v>
      </c>
      <c r="J71">
        <f>IF(TbRegistroEntradas[[#This Row],[Data do Caixa Realizado]]="",0,YEAR(TbRegistroEntradas[[#This Row],[Data do Caixa Realizado]]))</f>
        <v>2018</v>
      </c>
      <c r="K71">
        <f>IF(TbRegistroEntradas[[#This Row],[Data da Competência]]="",0,MONTH(TbRegistroEntradas[[#This Row],[Data da Competência]]))</f>
        <v>2</v>
      </c>
      <c r="L71">
        <f>IF(TbRegistroEntradas[[#This Row],[Data da Competência]]="",0,YEAR(TbRegistroEntradas[[#This Row],[Data da Competência]]))</f>
        <v>2018</v>
      </c>
      <c r="M71">
        <f>IF(TbRegistroEntradas[[#This Row],[Data do Caixa Previsto]]="",0,MONTH(TbRegistroEntradas[[#This Row],[Data do Caixa Previsto]]))</f>
        <v>2</v>
      </c>
      <c r="N71">
        <f>IF(TbRegistroEntradas[[#This Row],[Data do Caixa Previsto]]="",0,YEAR(TbRegistroEntradas[[#This Row],[Data do Caixa Previsto]]))</f>
        <v>2018</v>
      </c>
      <c r="O71" t="str">
        <f ca="1">IF(AND(TbRegistroEntradas[[#This Row],[Data do Caixa Previsto]]&lt;TODAY(),TbRegistroEntradas[[#This Row],[Data do Caixa Realizado]]=""),"Vencida","Não Vencida")</f>
        <v>Não Vencida</v>
      </c>
      <c r="P71" t="str">
        <f>IF(TbRegistroEntradas[[#This Row],[Data da Competência]]=TbRegistroEntradas[[#This Row],[Data do Caixa Previsto]],"Vista","Prazo")</f>
        <v>Vista</v>
      </c>
      <c r="Q7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72" spans="2:17" x14ac:dyDescent="0.25">
      <c r="B72" s="11" t="s">
        <v>68</v>
      </c>
      <c r="C72" s="11">
        <v>43156</v>
      </c>
      <c r="D72" s="11">
        <v>43205</v>
      </c>
      <c r="E72" t="s">
        <v>24</v>
      </c>
      <c r="F72" t="s">
        <v>32</v>
      </c>
      <c r="G72" t="s">
        <v>128</v>
      </c>
      <c r="H72" s="114">
        <v>3998</v>
      </c>
      <c r="I72">
        <f>IF(TbRegistroEntradas[[#This Row],[Data do Caixa Realizado]]="",0,MONTH(TbRegistroEntradas[[#This Row],[Data do Caixa Realizado]]))</f>
        <v>0</v>
      </c>
      <c r="J72">
        <f>IF(TbRegistroEntradas[[#This Row],[Data do Caixa Realizado]]="",0,YEAR(TbRegistroEntradas[[#This Row],[Data do Caixa Realizado]]))</f>
        <v>0</v>
      </c>
      <c r="K72">
        <f>IF(TbRegistroEntradas[[#This Row],[Data da Competência]]="",0,MONTH(TbRegistroEntradas[[#This Row],[Data da Competência]]))</f>
        <v>2</v>
      </c>
      <c r="L72">
        <f>IF(TbRegistroEntradas[[#This Row],[Data da Competência]]="",0,YEAR(TbRegistroEntradas[[#This Row],[Data da Competência]]))</f>
        <v>2018</v>
      </c>
      <c r="M72">
        <f>IF(TbRegistroEntradas[[#This Row],[Data do Caixa Previsto]]="",0,MONTH(TbRegistroEntradas[[#This Row],[Data do Caixa Previsto]]))</f>
        <v>4</v>
      </c>
      <c r="N72">
        <f>IF(TbRegistroEntradas[[#This Row],[Data do Caixa Previsto]]="",0,YEAR(TbRegistroEntradas[[#This Row],[Data do Caixa Previsto]]))</f>
        <v>2018</v>
      </c>
      <c r="O72" t="str">
        <f ca="1">IF(AND(TbRegistroEntradas[[#This Row],[Data do Caixa Previsto]]&lt;TODAY(),TbRegistroEntradas[[#This Row],[Data do Caixa Realizado]]=""),"Vencida","Não Vencida")</f>
        <v>Vencida</v>
      </c>
      <c r="P72" t="str">
        <f>IF(TbRegistroEntradas[[#This Row],[Data da Competência]]=TbRegistroEntradas[[#This Row],[Data do Caixa Previsto]],"Vista","Prazo")</f>
        <v>Prazo</v>
      </c>
      <c r="Q7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2148</v>
      </c>
    </row>
    <row r="73" spans="2:17" x14ac:dyDescent="0.25">
      <c r="B73" s="11">
        <v>43246</v>
      </c>
      <c r="C73" s="11">
        <v>43158</v>
      </c>
      <c r="D73" s="11">
        <v>43188</v>
      </c>
      <c r="E73" t="s">
        <v>24</v>
      </c>
      <c r="F73" t="s">
        <v>32</v>
      </c>
      <c r="G73" t="s">
        <v>129</v>
      </c>
      <c r="H73" s="114">
        <v>3252</v>
      </c>
      <c r="I73">
        <f>IF(TbRegistroEntradas[[#This Row],[Data do Caixa Realizado]]="",0,MONTH(TbRegistroEntradas[[#This Row],[Data do Caixa Realizado]]))</f>
        <v>5</v>
      </c>
      <c r="J73">
        <f>IF(TbRegistroEntradas[[#This Row],[Data do Caixa Realizado]]="",0,YEAR(TbRegistroEntradas[[#This Row],[Data do Caixa Realizado]]))</f>
        <v>2018</v>
      </c>
      <c r="K73">
        <f>IF(TbRegistroEntradas[[#This Row],[Data da Competência]]="",0,MONTH(TbRegistroEntradas[[#This Row],[Data da Competência]]))</f>
        <v>2</v>
      </c>
      <c r="L73">
        <f>IF(TbRegistroEntradas[[#This Row],[Data da Competência]]="",0,YEAR(TbRegistroEntradas[[#This Row],[Data da Competência]]))</f>
        <v>2018</v>
      </c>
      <c r="M73">
        <f>IF(TbRegistroEntradas[[#This Row],[Data do Caixa Previsto]]="",0,MONTH(TbRegistroEntradas[[#This Row],[Data do Caixa Previsto]]))</f>
        <v>3</v>
      </c>
      <c r="N73">
        <f>IF(TbRegistroEntradas[[#This Row],[Data do Caixa Previsto]]="",0,YEAR(TbRegistroEntradas[[#This Row],[Data do Caixa Previsto]]))</f>
        <v>2018</v>
      </c>
      <c r="O73" t="str">
        <f ca="1">IF(AND(TbRegistroEntradas[[#This Row],[Data do Caixa Previsto]]&lt;TODAY(),TbRegistroEntradas[[#This Row],[Data do Caixa Realizado]]=""),"Vencida","Não Vencida")</f>
        <v>Não Vencida</v>
      </c>
      <c r="P73" t="str">
        <f>IF(TbRegistroEntradas[[#This Row],[Data da Competência]]=TbRegistroEntradas[[#This Row],[Data do Caixa Previsto]],"Vista","Prazo")</f>
        <v>Prazo</v>
      </c>
      <c r="Q7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58</v>
      </c>
    </row>
    <row r="74" spans="2:17" x14ac:dyDescent="0.25">
      <c r="B74" s="11">
        <v>43169</v>
      </c>
      <c r="C74" s="11">
        <v>43160</v>
      </c>
      <c r="D74" s="11">
        <v>43169</v>
      </c>
      <c r="E74" t="s">
        <v>24</v>
      </c>
      <c r="F74" t="s">
        <v>33</v>
      </c>
      <c r="G74" t="s">
        <v>130</v>
      </c>
      <c r="H74" s="114">
        <v>3701</v>
      </c>
      <c r="I74">
        <f>IF(TbRegistroEntradas[[#This Row],[Data do Caixa Realizado]]="",0,MONTH(TbRegistroEntradas[[#This Row],[Data do Caixa Realizado]]))</f>
        <v>3</v>
      </c>
      <c r="J74">
        <f>IF(TbRegistroEntradas[[#This Row],[Data do Caixa Realizado]]="",0,YEAR(TbRegistroEntradas[[#This Row],[Data do Caixa Realizado]]))</f>
        <v>2018</v>
      </c>
      <c r="K74">
        <f>IF(TbRegistroEntradas[[#This Row],[Data da Competência]]="",0,MONTH(TbRegistroEntradas[[#This Row],[Data da Competência]]))</f>
        <v>3</v>
      </c>
      <c r="L74">
        <f>IF(TbRegistroEntradas[[#This Row],[Data da Competência]]="",0,YEAR(TbRegistroEntradas[[#This Row],[Data da Competência]]))</f>
        <v>2018</v>
      </c>
      <c r="M74">
        <f>IF(TbRegistroEntradas[[#This Row],[Data do Caixa Previsto]]="",0,MONTH(TbRegistroEntradas[[#This Row],[Data do Caixa Previsto]]))</f>
        <v>3</v>
      </c>
      <c r="N74">
        <f>IF(TbRegistroEntradas[[#This Row],[Data do Caixa Previsto]]="",0,YEAR(TbRegistroEntradas[[#This Row],[Data do Caixa Previsto]]))</f>
        <v>2018</v>
      </c>
      <c r="O74" t="str">
        <f ca="1">IF(AND(TbRegistroEntradas[[#This Row],[Data do Caixa Previsto]]&lt;TODAY(),TbRegistroEntradas[[#This Row],[Data do Caixa Realizado]]=""),"Vencida","Não Vencida")</f>
        <v>Não Vencida</v>
      </c>
      <c r="P74" t="str">
        <f>IF(TbRegistroEntradas[[#This Row],[Data da Competência]]=TbRegistroEntradas[[#This Row],[Data do Caixa Previsto]],"Vista","Prazo")</f>
        <v>Prazo</v>
      </c>
      <c r="Q7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75" spans="2:17" x14ac:dyDescent="0.25">
      <c r="B75" s="11" t="s">
        <v>68</v>
      </c>
      <c r="C75" s="11">
        <v>43162</v>
      </c>
      <c r="D75" s="11">
        <v>43202</v>
      </c>
      <c r="E75" t="s">
        <v>24</v>
      </c>
      <c r="F75" t="s">
        <v>35</v>
      </c>
      <c r="G75" t="s">
        <v>131</v>
      </c>
      <c r="H75" s="114">
        <v>1977</v>
      </c>
      <c r="I75">
        <f>IF(TbRegistroEntradas[[#This Row],[Data do Caixa Realizado]]="",0,MONTH(TbRegistroEntradas[[#This Row],[Data do Caixa Realizado]]))</f>
        <v>0</v>
      </c>
      <c r="J75">
        <f>IF(TbRegistroEntradas[[#This Row],[Data do Caixa Realizado]]="",0,YEAR(TbRegistroEntradas[[#This Row],[Data do Caixa Realizado]]))</f>
        <v>0</v>
      </c>
      <c r="K75">
        <f>IF(TbRegistroEntradas[[#This Row],[Data da Competência]]="",0,MONTH(TbRegistroEntradas[[#This Row],[Data da Competência]]))</f>
        <v>3</v>
      </c>
      <c r="L75">
        <f>IF(TbRegistroEntradas[[#This Row],[Data da Competência]]="",0,YEAR(TbRegistroEntradas[[#This Row],[Data da Competência]]))</f>
        <v>2018</v>
      </c>
      <c r="M75">
        <f>IF(TbRegistroEntradas[[#This Row],[Data do Caixa Previsto]]="",0,MONTH(TbRegistroEntradas[[#This Row],[Data do Caixa Previsto]]))</f>
        <v>4</v>
      </c>
      <c r="N75">
        <f>IF(TbRegistroEntradas[[#This Row],[Data do Caixa Previsto]]="",0,YEAR(TbRegistroEntradas[[#This Row],[Data do Caixa Previsto]]))</f>
        <v>2018</v>
      </c>
      <c r="O75" t="str">
        <f ca="1">IF(AND(TbRegistroEntradas[[#This Row],[Data do Caixa Previsto]]&lt;TODAY(),TbRegistroEntradas[[#This Row],[Data do Caixa Realizado]]=""),"Vencida","Não Vencida")</f>
        <v>Vencida</v>
      </c>
      <c r="P75" t="str">
        <f>IF(TbRegistroEntradas[[#This Row],[Data da Competência]]=TbRegistroEntradas[[#This Row],[Data do Caixa Previsto]],"Vista","Prazo")</f>
        <v>Prazo</v>
      </c>
      <c r="Q7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2151</v>
      </c>
    </row>
    <row r="76" spans="2:17" x14ac:dyDescent="0.25">
      <c r="B76" s="11">
        <v>43287</v>
      </c>
      <c r="C76" s="11">
        <v>43163</v>
      </c>
      <c r="D76" s="11">
        <v>43211</v>
      </c>
      <c r="E76" t="s">
        <v>24</v>
      </c>
      <c r="F76" t="s">
        <v>33</v>
      </c>
      <c r="G76" t="s">
        <v>132</v>
      </c>
      <c r="H76" s="114">
        <v>1217</v>
      </c>
      <c r="I76">
        <f>IF(TbRegistroEntradas[[#This Row],[Data do Caixa Realizado]]="",0,MONTH(TbRegistroEntradas[[#This Row],[Data do Caixa Realizado]]))</f>
        <v>7</v>
      </c>
      <c r="J76">
        <f>IF(TbRegistroEntradas[[#This Row],[Data do Caixa Realizado]]="",0,YEAR(TbRegistroEntradas[[#This Row],[Data do Caixa Realizado]]))</f>
        <v>2018</v>
      </c>
      <c r="K76">
        <f>IF(TbRegistroEntradas[[#This Row],[Data da Competência]]="",0,MONTH(TbRegistroEntradas[[#This Row],[Data da Competência]]))</f>
        <v>3</v>
      </c>
      <c r="L76">
        <f>IF(TbRegistroEntradas[[#This Row],[Data da Competência]]="",0,YEAR(TbRegistroEntradas[[#This Row],[Data da Competência]]))</f>
        <v>2018</v>
      </c>
      <c r="M76">
        <f>IF(TbRegistroEntradas[[#This Row],[Data do Caixa Previsto]]="",0,MONTH(TbRegistroEntradas[[#This Row],[Data do Caixa Previsto]]))</f>
        <v>4</v>
      </c>
      <c r="N76">
        <f>IF(TbRegistroEntradas[[#This Row],[Data do Caixa Previsto]]="",0,YEAR(TbRegistroEntradas[[#This Row],[Data do Caixa Previsto]]))</f>
        <v>2018</v>
      </c>
      <c r="O76" t="str">
        <f ca="1">IF(AND(TbRegistroEntradas[[#This Row],[Data do Caixa Previsto]]&lt;TODAY(),TbRegistroEntradas[[#This Row],[Data do Caixa Realizado]]=""),"Vencida","Não Vencida")</f>
        <v>Não Vencida</v>
      </c>
      <c r="P76" t="str">
        <f>IF(TbRegistroEntradas[[#This Row],[Data da Competência]]=TbRegistroEntradas[[#This Row],[Data do Caixa Previsto]],"Vista","Prazo")</f>
        <v>Prazo</v>
      </c>
      <c r="Q7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76</v>
      </c>
    </row>
    <row r="77" spans="2:17" x14ac:dyDescent="0.25">
      <c r="B77" s="11">
        <v>43203</v>
      </c>
      <c r="C77" s="11">
        <v>43166</v>
      </c>
      <c r="D77" s="11">
        <v>43203</v>
      </c>
      <c r="E77" t="s">
        <v>24</v>
      </c>
      <c r="F77" t="s">
        <v>31</v>
      </c>
      <c r="G77" t="s">
        <v>133</v>
      </c>
      <c r="H77" s="114">
        <v>1660</v>
      </c>
      <c r="I77">
        <f>IF(TbRegistroEntradas[[#This Row],[Data do Caixa Realizado]]="",0,MONTH(TbRegistroEntradas[[#This Row],[Data do Caixa Realizado]]))</f>
        <v>4</v>
      </c>
      <c r="J77">
        <f>IF(TbRegistroEntradas[[#This Row],[Data do Caixa Realizado]]="",0,YEAR(TbRegistroEntradas[[#This Row],[Data do Caixa Realizado]]))</f>
        <v>2018</v>
      </c>
      <c r="K77">
        <f>IF(TbRegistroEntradas[[#This Row],[Data da Competência]]="",0,MONTH(TbRegistroEntradas[[#This Row],[Data da Competência]]))</f>
        <v>3</v>
      </c>
      <c r="L77">
        <f>IF(TbRegistroEntradas[[#This Row],[Data da Competência]]="",0,YEAR(TbRegistroEntradas[[#This Row],[Data da Competência]]))</f>
        <v>2018</v>
      </c>
      <c r="M77">
        <f>IF(TbRegistroEntradas[[#This Row],[Data do Caixa Previsto]]="",0,MONTH(TbRegistroEntradas[[#This Row],[Data do Caixa Previsto]]))</f>
        <v>4</v>
      </c>
      <c r="N77">
        <f>IF(TbRegistroEntradas[[#This Row],[Data do Caixa Previsto]]="",0,YEAR(TbRegistroEntradas[[#This Row],[Data do Caixa Previsto]]))</f>
        <v>2018</v>
      </c>
      <c r="O77" t="str">
        <f ca="1">IF(AND(TbRegistroEntradas[[#This Row],[Data do Caixa Previsto]]&lt;TODAY(),TbRegistroEntradas[[#This Row],[Data do Caixa Realizado]]=""),"Vencida","Não Vencida")</f>
        <v>Não Vencida</v>
      </c>
      <c r="P77" t="str">
        <f>IF(TbRegistroEntradas[[#This Row],[Data da Competência]]=TbRegistroEntradas[[#This Row],[Data do Caixa Previsto]],"Vista","Prazo")</f>
        <v>Prazo</v>
      </c>
      <c r="Q7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78" spans="2:17" x14ac:dyDescent="0.25">
      <c r="B78" s="11">
        <v>43169</v>
      </c>
      <c r="C78" s="11">
        <v>43169</v>
      </c>
      <c r="D78" s="11">
        <v>43169</v>
      </c>
      <c r="E78" t="s">
        <v>24</v>
      </c>
      <c r="F78" t="s">
        <v>31</v>
      </c>
      <c r="G78" t="s">
        <v>134</v>
      </c>
      <c r="H78" s="114">
        <v>837</v>
      </c>
      <c r="I78">
        <f>IF(TbRegistroEntradas[[#This Row],[Data do Caixa Realizado]]="",0,MONTH(TbRegistroEntradas[[#This Row],[Data do Caixa Realizado]]))</f>
        <v>3</v>
      </c>
      <c r="J78">
        <f>IF(TbRegistroEntradas[[#This Row],[Data do Caixa Realizado]]="",0,YEAR(TbRegistroEntradas[[#This Row],[Data do Caixa Realizado]]))</f>
        <v>2018</v>
      </c>
      <c r="K78">
        <f>IF(TbRegistroEntradas[[#This Row],[Data da Competência]]="",0,MONTH(TbRegistroEntradas[[#This Row],[Data da Competência]]))</f>
        <v>3</v>
      </c>
      <c r="L78">
        <f>IF(TbRegistroEntradas[[#This Row],[Data da Competência]]="",0,YEAR(TbRegistroEntradas[[#This Row],[Data da Competência]]))</f>
        <v>2018</v>
      </c>
      <c r="M78">
        <f>IF(TbRegistroEntradas[[#This Row],[Data do Caixa Previsto]]="",0,MONTH(TbRegistroEntradas[[#This Row],[Data do Caixa Previsto]]))</f>
        <v>3</v>
      </c>
      <c r="N78">
        <f>IF(TbRegistroEntradas[[#This Row],[Data do Caixa Previsto]]="",0,YEAR(TbRegistroEntradas[[#This Row],[Data do Caixa Previsto]]))</f>
        <v>2018</v>
      </c>
      <c r="O78" t="str">
        <f ca="1">IF(AND(TbRegistroEntradas[[#This Row],[Data do Caixa Previsto]]&lt;TODAY(),TbRegistroEntradas[[#This Row],[Data do Caixa Realizado]]=""),"Vencida","Não Vencida")</f>
        <v>Não Vencida</v>
      </c>
      <c r="P78" t="str">
        <f>IF(TbRegistroEntradas[[#This Row],[Data da Competência]]=TbRegistroEntradas[[#This Row],[Data do Caixa Previsto]],"Vista","Prazo")</f>
        <v>Vista</v>
      </c>
      <c r="Q7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79" spans="2:17" x14ac:dyDescent="0.25">
      <c r="B79" s="11">
        <v>43274</v>
      </c>
      <c r="C79" s="11">
        <v>43171</v>
      </c>
      <c r="D79" s="11">
        <v>43200</v>
      </c>
      <c r="E79" t="s">
        <v>24</v>
      </c>
      <c r="F79" t="s">
        <v>34</v>
      </c>
      <c r="G79" t="s">
        <v>135</v>
      </c>
      <c r="H79" s="114">
        <v>1838</v>
      </c>
      <c r="I79">
        <f>IF(TbRegistroEntradas[[#This Row],[Data do Caixa Realizado]]="",0,MONTH(TbRegistroEntradas[[#This Row],[Data do Caixa Realizado]]))</f>
        <v>6</v>
      </c>
      <c r="J79">
        <f>IF(TbRegistroEntradas[[#This Row],[Data do Caixa Realizado]]="",0,YEAR(TbRegistroEntradas[[#This Row],[Data do Caixa Realizado]]))</f>
        <v>2018</v>
      </c>
      <c r="K79">
        <f>IF(TbRegistroEntradas[[#This Row],[Data da Competência]]="",0,MONTH(TbRegistroEntradas[[#This Row],[Data da Competência]]))</f>
        <v>3</v>
      </c>
      <c r="L79">
        <f>IF(TbRegistroEntradas[[#This Row],[Data da Competência]]="",0,YEAR(TbRegistroEntradas[[#This Row],[Data da Competência]]))</f>
        <v>2018</v>
      </c>
      <c r="M79">
        <f>IF(TbRegistroEntradas[[#This Row],[Data do Caixa Previsto]]="",0,MONTH(TbRegistroEntradas[[#This Row],[Data do Caixa Previsto]]))</f>
        <v>4</v>
      </c>
      <c r="N79">
        <f>IF(TbRegistroEntradas[[#This Row],[Data do Caixa Previsto]]="",0,YEAR(TbRegistroEntradas[[#This Row],[Data do Caixa Previsto]]))</f>
        <v>2018</v>
      </c>
      <c r="O79" t="str">
        <f ca="1">IF(AND(TbRegistroEntradas[[#This Row],[Data do Caixa Previsto]]&lt;TODAY(),TbRegistroEntradas[[#This Row],[Data do Caixa Realizado]]=""),"Vencida","Não Vencida")</f>
        <v>Não Vencida</v>
      </c>
      <c r="P79" t="str">
        <f>IF(TbRegistroEntradas[[#This Row],[Data da Competência]]=TbRegistroEntradas[[#This Row],[Data do Caixa Previsto]],"Vista","Prazo")</f>
        <v>Prazo</v>
      </c>
      <c r="Q7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74</v>
      </c>
    </row>
    <row r="80" spans="2:17" x14ac:dyDescent="0.25">
      <c r="B80" s="11">
        <v>43176</v>
      </c>
      <c r="C80" s="11">
        <v>43176</v>
      </c>
      <c r="D80" s="11">
        <v>43176</v>
      </c>
      <c r="E80" t="s">
        <v>24</v>
      </c>
      <c r="F80" t="s">
        <v>35</v>
      </c>
      <c r="G80" t="s">
        <v>136</v>
      </c>
      <c r="H80" s="114">
        <v>4471</v>
      </c>
      <c r="I80">
        <f>IF(TbRegistroEntradas[[#This Row],[Data do Caixa Realizado]]="",0,MONTH(TbRegistroEntradas[[#This Row],[Data do Caixa Realizado]]))</f>
        <v>3</v>
      </c>
      <c r="J80">
        <f>IF(TbRegistroEntradas[[#This Row],[Data do Caixa Realizado]]="",0,YEAR(TbRegistroEntradas[[#This Row],[Data do Caixa Realizado]]))</f>
        <v>2018</v>
      </c>
      <c r="K80">
        <f>IF(TbRegistroEntradas[[#This Row],[Data da Competência]]="",0,MONTH(TbRegistroEntradas[[#This Row],[Data da Competência]]))</f>
        <v>3</v>
      </c>
      <c r="L80">
        <f>IF(TbRegistroEntradas[[#This Row],[Data da Competência]]="",0,YEAR(TbRegistroEntradas[[#This Row],[Data da Competência]]))</f>
        <v>2018</v>
      </c>
      <c r="M80">
        <f>IF(TbRegistroEntradas[[#This Row],[Data do Caixa Previsto]]="",0,MONTH(TbRegistroEntradas[[#This Row],[Data do Caixa Previsto]]))</f>
        <v>3</v>
      </c>
      <c r="N80">
        <f>IF(TbRegistroEntradas[[#This Row],[Data do Caixa Previsto]]="",0,YEAR(TbRegistroEntradas[[#This Row],[Data do Caixa Previsto]]))</f>
        <v>2018</v>
      </c>
      <c r="O80" t="str">
        <f ca="1">IF(AND(TbRegistroEntradas[[#This Row],[Data do Caixa Previsto]]&lt;TODAY(),TbRegistroEntradas[[#This Row],[Data do Caixa Realizado]]=""),"Vencida","Não Vencida")</f>
        <v>Não Vencida</v>
      </c>
      <c r="P80" t="str">
        <f>IF(TbRegistroEntradas[[#This Row],[Data da Competência]]=TbRegistroEntradas[[#This Row],[Data do Caixa Previsto]],"Vista","Prazo")</f>
        <v>Vista</v>
      </c>
      <c r="Q8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81" spans="2:17" x14ac:dyDescent="0.25">
      <c r="B81" s="11">
        <v>43177</v>
      </c>
      <c r="C81" s="11">
        <v>43177</v>
      </c>
      <c r="D81" s="11">
        <v>43177</v>
      </c>
      <c r="E81" t="s">
        <v>24</v>
      </c>
      <c r="F81" t="s">
        <v>34</v>
      </c>
      <c r="G81" t="s">
        <v>137</v>
      </c>
      <c r="H81" s="114">
        <v>3540</v>
      </c>
      <c r="I81">
        <f>IF(TbRegistroEntradas[[#This Row],[Data do Caixa Realizado]]="",0,MONTH(TbRegistroEntradas[[#This Row],[Data do Caixa Realizado]]))</f>
        <v>3</v>
      </c>
      <c r="J81">
        <f>IF(TbRegistroEntradas[[#This Row],[Data do Caixa Realizado]]="",0,YEAR(TbRegistroEntradas[[#This Row],[Data do Caixa Realizado]]))</f>
        <v>2018</v>
      </c>
      <c r="K81">
        <f>IF(TbRegistroEntradas[[#This Row],[Data da Competência]]="",0,MONTH(TbRegistroEntradas[[#This Row],[Data da Competência]]))</f>
        <v>3</v>
      </c>
      <c r="L81">
        <f>IF(TbRegistroEntradas[[#This Row],[Data da Competência]]="",0,YEAR(TbRegistroEntradas[[#This Row],[Data da Competência]]))</f>
        <v>2018</v>
      </c>
      <c r="M81">
        <f>IF(TbRegistroEntradas[[#This Row],[Data do Caixa Previsto]]="",0,MONTH(TbRegistroEntradas[[#This Row],[Data do Caixa Previsto]]))</f>
        <v>3</v>
      </c>
      <c r="N81">
        <f>IF(TbRegistroEntradas[[#This Row],[Data do Caixa Previsto]]="",0,YEAR(TbRegistroEntradas[[#This Row],[Data do Caixa Previsto]]))</f>
        <v>2018</v>
      </c>
      <c r="O81" t="str">
        <f ca="1">IF(AND(TbRegistroEntradas[[#This Row],[Data do Caixa Previsto]]&lt;TODAY(),TbRegistroEntradas[[#This Row],[Data do Caixa Realizado]]=""),"Vencida","Não Vencida")</f>
        <v>Não Vencida</v>
      </c>
      <c r="P81" t="str">
        <f>IF(TbRegistroEntradas[[#This Row],[Data da Competência]]=TbRegistroEntradas[[#This Row],[Data do Caixa Previsto]],"Vista","Prazo")</f>
        <v>Vista</v>
      </c>
      <c r="Q8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82" spans="2:17" x14ac:dyDescent="0.25">
      <c r="B82" s="11">
        <v>43225</v>
      </c>
      <c r="C82" s="11">
        <v>43180</v>
      </c>
      <c r="D82" s="11">
        <v>43180</v>
      </c>
      <c r="E82" t="s">
        <v>24</v>
      </c>
      <c r="F82" t="s">
        <v>34</v>
      </c>
      <c r="G82" t="s">
        <v>138</v>
      </c>
      <c r="H82" s="114">
        <v>4606</v>
      </c>
      <c r="I82">
        <f>IF(TbRegistroEntradas[[#This Row],[Data do Caixa Realizado]]="",0,MONTH(TbRegistroEntradas[[#This Row],[Data do Caixa Realizado]]))</f>
        <v>5</v>
      </c>
      <c r="J82">
        <f>IF(TbRegistroEntradas[[#This Row],[Data do Caixa Realizado]]="",0,YEAR(TbRegistroEntradas[[#This Row],[Data do Caixa Realizado]]))</f>
        <v>2018</v>
      </c>
      <c r="K82">
        <f>IF(TbRegistroEntradas[[#This Row],[Data da Competência]]="",0,MONTH(TbRegistroEntradas[[#This Row],[Data da Competência]]))</f>
        <v>3</v>
      </c>
      <c r="L82">
        <f>IF(TbRegistroEntradas[[#This Row],[Data da Competência]]="",0,YEAR(TbRegistroEntradas[[#This Row],[Data da Competência]]))</f>
        <v>2018</v>
      </c>
      <c r="M82">
        <f>IF(TbRegistroEntradas[[#This Row],[Data do Caixa Previsto]]="",0,MONTH(TbRegistroEntradas[[#This Row],[Data do Caixa Previsto]]))</f>
        <v>3</v>
      </c>
      <c r="N82">
        <f>IF(TbRegistroEntradas[[#This Row],[Data do Caixa Previsto]]="",0,YEAR(TbRegistroEntradas[[#This Row],[Data do Caixa Previsto]]))</f>
        <v>2018</v>
      </c>
      <c r="O82" t="str">
        <f ca="1">IF(AND(TbRegistroEntradas[[#This Row],[Data do Caixa Previsto]]&lt;TODAY(),TbRegistroEntradas[[#This Row],[Data do Caixa Realizado]]=""),"Vencida","Não Vencida")</f>
        <v>Não Vencida</v>
      </c>
      <c r="P82" t="str">
        <f>IF(TbRegistroEntradas[[#This Row],[Data da Competência]]=TbRegistroEntradas[[#This Row],[Data do Caixa Previsto]],"Vista","Prazo")</f>
        <v>Vista</v>
      </c>
      <c r="Q8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45</v>
      </c>
    </row>
    <row r="83" spans="2:17" x14ac:dyDescent="0.25">
      <c r="B83" s="11">
        <v>43199</v>
      </c>
      <c r="C83" s="11">
        <v>43182</v>
      </c>
      <c r="D83" s="11">
        <v>43199</v>
      </c>
      <c r="E83" t="s">
        <v>24</v>
      </c>
      <c r="F83" t="s">
        <v>32</v>
      </c>
      <c r="G83" t="s">
        <v>139</v>
      </c>
      <c r="H83" s="114">
        <v>2388</v>
      </c>
      <c r="I83">
        <f>IF(TbRegistroEntradas[[#This Row],[Data do Caixa Realizado]]="",0,MONTH(TbRegistroEntradas[[#This Row],[Data do Caixa Realizado]]))</f>
        <v>4</v>
      </c>
      <c r="J83">
        <f>IF(TbRegistroEntradas[[#This Row],[Data do Caixa Realizado]]="",0,YEAR(TbRegistroEntradas[[#This Row],[Data do Caixa Realizado]]))</f>
        <v>2018</v>
      </c>
      <c r="K83">
        <f>IF(TbRegistroEntradas[[#This Row],[Data da Competência]]="",0,MONTH(TbRegistroEntradas[[#This Row],[Data da Competência]]))</f>
        <v>3</v>
      </c>
      <c r="L83">
        <f>IF(TbRegistroEntradas[[#This Row],[Data da Competência]]="",0,YEAR(TbRegistroEntradas[[#This Row],[Data da Competência]]))</f>
        <v>2018</v>
      </c>
      <c r="M83">
        <f>IF(TbRegistroEntradas[[#This Row],[Data do Caixa Previsto]]="",0,MONTH(TbRegistroEntradas[[#This Row],[Data do Caixa Previsto]]))</f>
        <v>4</v>
      </c>
      <c r="N83">
        <f>IF(TbRegistroEntradas[[#This Row],[Data do Caixa Previsto]]="",0,YEAR(TbRegistroEntradas[[#This Row],[Data do Caixa Previsto]]))</f>
        <v>2018</v>
      </c>
      <c r="O83" t="str">
        <f ca="1">IF(AND(TbRegistroEntradas[[#This Row],[Data do Caixa Previsto]]&lt;TODAY(),TbRegistroEntradas[[#This Row],[Data do Caixa Realizado]]=""),"Vencida","Não Vencida")</f>
        <v>Não Vencida</v>
      </c>
      <c r="P83" t="str">
        <f>IF(TbRegistroEntradas[[#This Row],[Data da Competência]]=TbRegistroEntradas[[#This Row],[Data do Caixa Previsto]],"Vista","Prazo")</f>
        <v>Prazo</v>
      </c>
      <c r="Q8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84" spans="2:17" x14ac:dyDescent="0.25">
      <c r="B84" s="11">
        <v>43187</v>
      </c>
      <c r="C84" s="11">
        <v>43184</v>
      </c>
      <c r="D84" s="11">
        <v>43187</v>
      </c>
      <c r="E84" t="s">
        <v>24</v>
      </c>
      <c r="F84" t="s">
        <v>31</v>
      </c>
      <c r="G84" t="s">
        <v>140</v>
      </c>
      <c r="H84" s="114">
        <v>2303</v>
      </c>
      <c r="I84">
        <f>IF(TbRegistroEntradas[[#This Row],[Data do Caixa Realizado]]="",0,MONTH(TbRegistroEntradas[[#This Row],[Data do Caixa Realizado]]))</f>
        <v>3</v>
      </c>
      <c r="J84">
        <f>IF(TbRegistroEntradas[[#This Row],[Data do Caixa Realizado]]="",0,YEAR(TbRegistroEntradas[[#This Row],[Data do Caixa Realizado]]))</f>
        <v>2018</v>
      </c>
      <c r="K84">
        <f>IF(TbRegistroEntradas[[#This Row],[Data da Competência]]="",0,MONTH(TbRegistroEntradas[[#This Row],[Data da Competência]]))</f>
        <v>3</v>
      </c>
      <c r="L84">
        <f>IF(TbRegistroEntradas[[#This Row],[Data da Competência]]="",0,YEAR(TbRegistroEntradas[[#This Row],[Data da Competência]]))</f>
        <v>2018</v>
      </c>
      <c r="M84">
        <f>IF(TbRegistroEntradas[[#This Row],[Data do Caixa Previsto]]="",0,MONTH(TbRegistroEntradas[[#This Row],[Data do Caixa Previsto]]))</f>
        <v>3</v>
      </c>
      <c r="N84">
        <f>IF(TbRegistroEntradas[[#This Row],[Data do Caixa Previsto]]="",0,YEAR(TbRegistroEntradas[[#This Row],[Data do Caixa Previsto]]))</f>
        <v>2018</v>
      </c>
      <c r="O84" t="str">
        <f ca="1">IF(AND(TbRegistroEntradas[[#This Row],[Data do Caixa Previsto]]&lt;TODAY(),TbRegistroEntradas[[#This Row],[Data do Caixa Realizado]]=""),"Vencida","Não Vencida")</f>
        <v>Não Vencida</v>
      </c>
      <c r="P84" t="str">
        <f>IF(TbRegistroEntradas[[#This Row],[Data da Competência]]=TbRegistroEntradas[[#This Row],[Data do Caixa Previsto]],"Vista","Prazo")</f>
        <v>Prazo</v>
      </c>
      <c r="Q8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85" spans="2:17" x14ac:dyDescent="0.25">
      <c r="B85" s="11">
        <v>43257</v>
      </c>
      <c r="C85" s="11">
        <v>43187</v>
      </c>
      <c r="D85" s="11">
        <v>43205</v>
      </c>
      <c r="E85" t="s">
        <v>24</v>
      </c>
      <c r="F85" t="s">
        <v>35</v>
      </c>
      <c r="G85" t="s">
        <v>141</v>
      </c>
      <c r="H85" s="114">
        <v>1662</v>
      </c>
      <c r="I85">
        <f>IF(TbRegistroEntradas[[#This Row],[Data do Caixa Realizado]]="",0,MONTH(TbRegistroEntradas[[#This Row],[Data do Caixa Realizado]]))</f>
        <v>6</v>
      </c>
      <c r="J85">
        <f>IF(TbRegistroEntradas[[#This Row],[Data do Caixa Realizado]]="",0,YEAR(TbRegistroEntradas[[#This Row],[Data do Caixa Realizado]]))</f>
        <v>2018</v>
      </c>
      <c r="K85">
        <f>IF(TbRegistroEntradas[[#This Row],[Data da Competência]]="",0,MONTH(TbRegistroEntradas[[#This Row],[Data da Competência]]))</f>
        <v>3</v>
      </c>
      <c r="L85">
        <f>IF(TbRegistroEntradas[[#This Row],[Data da Competência]]="",0,YEAR(TbRegistroEntradas[[#This Row],[Data da Competência]]))</f>
        <v>2018</v>
      </c>
      <c r="M85">
        <f>IF(TbRegistroEntradas[[#This Row],[Data do Caixa Previsto]]="",0,MONTH(TbRegistroEntradas[[#This Row],[Data do Caixa Previsto]]))</f>
        <v>4</v>
      </c>
      <c r="N85">
        <f>IF(TbRegistroEntradas[[#This Row],[Data do Caixa Previsto]]="",0,YEAR(TbRegistroEntradas[[#This Row],[Data do Caixa Previsto]]))</f>
        <v>2018</v>
      </c>
      <c r="O85" t="str">
        <f ca="1">IF(AND(TbRegistroEntradas[[#This Row],[Data do Caixa Previsto]]&lt;TODAY(),TbRegistroEntradas[[#This Row],[Data do Caixa Realizado]]=""),"Vencida","Não Vencida")</f>
        <v>Não Vencida</v>
      </c>
      <c r="P85" t="str">
        <f>IF(TbRegistroEntradas[[#This Row],[Data da Competência]]=TbRegistroEntradas[[#This Row],[Data do Caixa Previsto]],"Vista","Prazo")</f>
        <v>Prazo</v>
      </c>
      <c r="Q8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52</v>
      </c>
    </row>
    <row r="86" spans="2:17" x14ac:dyDescent="0.25">
      <c r="B86" s="11">
        <v>43214</v>
      </c>
      <c r="C86" s="11">
        <v>43189</v>
      </c>
      <c r="D86" s="11">
        <v>43189</v>
      </c>
      <c r="E86" t="s">
        <v>24</v>
      </c>
      <c r="F86" t="s">
        <v>32</v>
      </c>
      <c r="G86" t="s">
        <v>142</v>
      </c>
      <c r="H86" s="114">
        <v>3241</v>
      </c>
      <c r="I86">
        <f>IF(TbRegistroEntradas[[#This Row],[Data do Caixa Realizado]]="",0,MONTH(TbRegistroEntradas[[#This Row],[Data do Caixa Realizado]]))</f>
        <v>4</v>
      </c>
      <c r="J86">
        <f>IF(TbRegistroEntradas[[#This Row],[Data do Caixa Realizado]]="",0,YEAR(TbRegistroEntradas[[#This Row],[Data do Caixa Realizado]]))</f>
        <v>2018</v>
      </c>
      <c r="K86">
        <f>IF(TbRegistroEntradas[[#This Row],[Data da Competência]]="",0,MONTH(TbRegistroEntradas[[#This Row],[Data da Competência]]))</f>
        <v>3</v>
      </c>
      <c r="L86">
        <f>IF(TbRegistroEntradas[[#This Row],[Data da Competência]]="",0,YEAR(TbRegistroEntradas[[#This Row],[Data da Competência]]))</f>
        <v>2018</v>
      </c>
      <c r="M86">
        <f>IF(TbRegistroEntradas[[#This Row],[Data do Caixa Previsto]]="",0,MONTH(TbRegistroEntradas[[#This Row],[Data do Caixa Previsto]]))</f>
        <v>3</v>
      </c>
      <c r="N86">
        <f>IF(TbRegistroEntradas[[#This Row],[Data do Caixa Previsto]]="",0,YEAR(TbRegistroEntradas[[#This Row],[Data do Caixa Previsto]]))</f>
        <v>2018</v>
      </c>
      <c r="O86" t="str">
        <f ca="1">IF(AND(TbRegistroEntradas[[#This Row],[Data do Caixa Previsto]]&lt;TODAY(),TbRegistroEntradas[[#This Row],[Data do Caixa Realizado]]=""),"Vencida","Não Vencida")</f>
        <v>Não Vencida</v>
      </c>
      <c r="P86" t="str">
        <f>IF(TbRegistroEntradas[[#This Row],[Data da Competência]]=TbRegistroEntradas[[#This Row],[Data do Caixa Previsto]],"Vista","Prazo")</f>
        <v>Vista</v>
      </c>
      <c r="Q8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25</v>
      </c>
    </row>
    <row r="87" spans="2:17" x14ac:dyDescent="0.25">
      <c r="B87" s="11">
        <v>43306</v>
      </c>
      <c r="C87" s="11">
        <v>43190</v>
      </c>
      <c r="D87" s="11">
        <v>43228</v>
      </c>
      <c r="E87" t="s">
        <v>24</v>
      </c>
      <c r="F87" t="s">
        <v>35</v>
      </c>
      <c r="G87" t="s">
        <v>143</v>
      </c>
      <c r="H87" s="114">
        <v>4017</v>
      </c>
      <c r="I87">
        <f>IF(TbRegistroEntradas[[#This Row],[Data do Caixa Realizado]]="",0,MONTH(TbRegistroEntradas[[#This Row],[Data do Caixa Realizado]]))</f>
        <v>7</v>
      </c>
      <c r="J87">
        <f>IF(TbRegistroEntradas[[#This Row],[Data do Caixa Realizado]]="",0,YEAR(TbRegistroEntradas[[#This Row],[Data do Caixa Realizado]]))</f>
        <v>2018</v>
      </c>
      <c r="K87">
        <f>IF(TbRegistroEntradas[[#This Row],[Data da Competência]]="",0,MONTH(TbRegistroEntradas[[#This Row],[Data da Competência]]))</f>
        <v>3</v>
      </c>
      <c r="L87">
        <f>IF(TbRegistroEntradas[[#This Row],[Data da Competência]]="",0,YEAR(TbRegistroEntradas[[#This Row],[Data da Competência]]))</f>
        <v>2018</v>
      </c>
      <c r="M87">
        <f>IF(TbRegistroEntradas[[#This Row],[Data do Caixa Previsto]]="",0,MONTH(TbRegistroEntradas[[#This Row],[Data do Caixa Previsto]]))</f>
        <v>5</v>
      </c>
      <c r="N87">
        <f>IF(TbRegistroEntradas[[#This Row],[Data do Caixa Previsto]]="",0,YEAR(TbRegistroEntradas[[#This Row],[Data do Caixa Previsto]]))</f>
        <v>2018</v>
      </c>
      <c r="O87" t="str">
        <f ca="1">IF(AND(TbRegistroEntradas[[#This Row],[Data do Caixa Previsto]]&lt;TODAY(),TbRegistroEntradas[[#This Row],[Data do Caixa Realizado]]=""),"Vencida","Não Vencida")</f>
        <v>Não Vencida</v>
      </c>
      <c r="P87" t="str">
        <f>IF(TbRegistroEntradas[[#This Row],[Data da Competência]]=TbRegistroEntradas[[#This Row],[Data do Caixa Previsto]],"Vista","Prazo")</f>
        <v>Prazo</v>
      </c>
      <c r="Q8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78</v>
      </c>
    </row>
    <row r="88" spans="2:17" x14ac:dyDescent="0.25">
      <c r="B88" s="11">
        <v>43193</v>
      </c>
      <c r="C88" s="11">
        <v>43193</v>
      </c>
      <c r="D88" s="11">
        <v>43193</v>
      </c>
      <c r="E88" t="s">
        <v>24</v>
      </c>
      <c r="F88" t="s">
        <v>34</v>
      </c>
      <c r="G88" t="s">
        <v>144</v>
      </c>
      <c r="H88" s="114">
        <v>3586</v>
      </c>
      <c r="I88">
        <f>IF(TbRegistroEntradas[[#This Row],[Data do Caixa Realizado]]="",0,MONTH(TbRegistroEntradas[[#This Row],[Data do Caixa Realizado]]))</f>
        <v>4</v>
      </c>
      <c r="J88">
        <f>IF(TbRegistroEntradas[[#This Row],[Data do Caixa Realizado]]="",0,YEAR(TbRegistroEntradas[[#This Row],[Data do Caixa Realizado]]))</f>
        <v>2018</v>
      </c>
      <c r="K88">
        <f>IF(TbRegistroEntradas[[#This Row],[Data da Competência]]="",0,MONTH(TbRegistroEntradas[[#This Row],[Data da Competência]]))</f>
        <v>4</v>
      </c>
      <c r="L88">
        <f>IF(TbRegistroEntradas[[#This Row],[Data da Competência]]="",0,YEAR(TbRegistroEntradas[[#This Row],[Data da Competência]]))</f>
        <v>2018</v>
      </c>
      <c r="M88">
        <f>IF(TbRegistroEntradas[[#This Row],[Data do Caixa Previsto]]="",0,MONTH(TbRegistroEntradas[[#This Row],[Data do Caixa Previsto]]))</f>
        <v>4</v>
      </c>
      <c r="N88">
        <f>IF(TbRegistroEntradas[[#This Row],[Data do Caixa Previsto]]="",0,YEAR(TbRegistroEntradas[[#This Row],[Data do Caixa Previsto]]))</f>
        <v>2018</v>
      </c>
      <c r="O88" t="str">
        <f ca="1">IF(AND(TbRegistroEntradas[[#This Row],[Data do Caixa Previsto]]&lt;TODAY(),TbRegistroEntradas[[#This Row],[Data do Caixa Realizado]]=""),"Vencida","Não Vencida")</f>
        <v>Não Vencida</v>
      </c>
      <c r="P88" t="str">
        <f>IF(TbRegistroEntradas[[#This Row],[Data da Competência]]=TbRegistroEntradas[[#This Row],[Data do Caixa Previsto]],"Vista","Prazo")</f>
        <v>Vista</v>
      </c>
      <c r="Q8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89" spans="2:17" x14ac:dyDescent="0.25">
      <c r="B89" s="11">
        <v>43196</v>
      </c>
      <c r="C89" s="11">
        <v>43196</v>
      </c>
      <c r="D89" s="11">
        <v>43196</v>
      </c>
      <c r="E89" t="s">
        <v>24</v>
      </c>
      <c r="F89" t="s">
        <v>32</v>
      </c>
      <c r="G89" t="s">
        <v>145</v>
      </c>
      <c r="H89" s="114">
        <v>4467</v>
      </c>
      <c r="I89">
        <f>IF(TbRegistroEntradas[[#This Row],[Data do Caixa Realizado]]="",0,MONTH(TbRegistroEntradas[[#This Row],[Data do Caixa Realizado]]))</f>
        <v>4</v>
      </c>
      <c r="J89">
        <f>IF(TbRegistroEntradas[[#This Row],[Data do Caixa Realizado]]="",0,YEAR(TbRegistroEntradas[[#This Row],[Data do Caixa Realizado]]))</f>
        <v>2018</v>
      </c>
      <c r="K89">
        <f>IF(TbRegistroEntradas[[#This Row],[Data da Competência]]="",0,MONTH(TbRegistroEntradas[[#This Row],[Data da Competência]]))</f>
        <v>4</v>
      </c>
      <c r="L89">
        <f>IF(TbRegistroEntradas[[#This Row],[Data da Competência]]="",0,YEAR(TbRegistroEntradas[[#This Row],[Data da Competência]]))</f>
        <v>2018</v>
      </c>
      <c r="M89">
        <f>IF(TbRegistroEntradas[[#This Row],[Data do Caixa Previsto]]="",0,MONTH(TbRegistroEntradas[[#This Row],[Data do Caixa Previsto]]))</f>
        <v>4</v>
      </c>
      <c r="N89">
        <f>IF(TbRegistroEntradas[[#This Row],[Data do Caixa Previsto]]="",0,YEAR(TbRegistroEntradas[[#This Row],[Data do Caixa Previsto]]))</f>
        <v>2018</v>
      </c>
      <c r="O89" t="str">
        <f ca="1">IF(AND(TbRegistroEntradas[[#This Row],[Data do Caixa Previsto]]&lt;TODAY(),TbRegistroEntradas[[#This Row],[Data do Caixa Realizado]]=""),"Vencida","Não Vencida")</f>
        <v>Não Vencida</v>
      </c>
      <c r="P89" t="str">
        <f>IF(TbRegistroEntradas[[#This Row],[Data da Competência]]=TbRegistroEntradas[[#This Row],[Data do Caixa Previsto]],"Vista","Prazo")</f>
        <v>Vista</v>
      </c>
      <c r="Q8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90" spans="2:17" x14ac:dyDescent="0.25">
      <c r="B90" s="11">
        <v>43251</v>
      </c>
      <c r="C90" s="11">
        <v>43199</v>
      </c>
      <c r="D90" s="11">
        <v>43251</v>
      </c>
      <c r="E90" t="s">
        <v>24</v>
      </c>
      <c r="F90" t="s">
        <v>34</v>
      </c>
      <c r="G90" t="s">
        <v>146</v>
      </c>
      <c r="H90" s="114">
        <v>4262</v>
      </c>
      <c r="I90">
        <f>IF(TbRegistroEntradas[[#This Row],[Data do Caixa Realizado]]="",0,MONTH(TbRegistroEntradas[[#This Row],[Data do Caixa Realizado]]))</f>
        <v>5</v>
      </c>
      <c r="J90">
        <f>IF(TbRegistroEntradas[[#This Row],[Data do Caixa Realizado]]="",0,YEAR(TbRegistroEntradas[[#This Row],[Data do Caixa Realizado]]))</f>
        <v>2018</v>
      </c>
      <c r="K90">
        <f>IF(TbRegistroEntradas[[#This Row],[Data da Competência]]="",0,MONTH(TbRegistroEntradas[[#This Row],[Data da Competência]]))</f>
        <v>4</v>
      </c>
      <c r="L90">
        <f>IF(TbRegistroEntradas[[#This Row],[Data da Competência]]="",0,YEAR(TbRegistroEntradas[[#This Row],[Data da Competência]]))</f>
        <v>2018</v>
      </c>
      <c r="M90">
        <f>IF(TbRegistroEntradas[[#This Row],[Data do Caixa Previsto]]="",0,MONTH(TbRegistroEntradas[[#This Row],[Data do Caixa Previsto]]))</f>
        <v>5</v>
      </c>
      <c r="N90">
        <f>IF(TbRegistroEntradas[[#This Row],[Data do Caixa Previsto]]="",0,YEAR(TbRegistroEntradas[[#This Row],[Data do Caixa Previsto]]))</f>
        <v>2018</v>
      </c>
      <c r="O90" t="str">
        <f ca="1">IF(AND(TbRegistroEntradas[[#This Row],[Data do Caixa Previsto]]&lt;TODAY(),TbRegistroEntradas[[#This Row],[Data do Caixa Realizado]]=""),"Vencida","Não Vencida")</f>
        <v>Não Vencida</v>
      </c>
      <c r="P90" t="str">
        <f>IF(TbRegistroEntradas[[#This Row],[Data da Competência]]=TbRegistroEntradas[[#This Row],[Data do Caixa Previsto]],"Vista","Prazo")</f>
        <v>Prazo</v>
      </c>
      <c r="Q9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91" spans="2:17" x14ac:dyDescent="0.25">
      <c r="B91" s="11" t="s">
        <v>68</v>
      </c>
      <c r="C91" s="11">
        <v>43201</v>
      </c>
      <c r="D91" s="11">
        <v>43260</v>
      </c>
      <c r="E91" t="s">
        <v>24</v>
      </c>
      <c r="F91" t="s">
        <v>34</v>
      </c>
      <c r="G91" t="s">
        <v>147</v>
      </c>
      <c r="H91" s="114">
        <v>2593</v>
      </c>
      <c r="I91">
        <f>IF(TbRegistroEntradas[[#This Row],[Data do Caixa Realizado]]="",0,MONTH(TbRegistroEntradas[[#This Row],[Data do Caixa Realizado]]))</f>
        <v>0</v>
      </c>
      <c r="J91">
        <f>IF(TbRegistroEntradas[[#This Row],[Data do Caixa Realizado]]="",0,YEAR(TbRegistroEntradas[[#This Row],[Data do Caixa Realizado]]))</f>
        <v>0</v>
      </c>
      <c r="K91">
        <f>IF(TbRegistroEntradas[[#This Row],[Data da Competência]]="",0,MONTH(TbRegistroEntradas[[#This Row],[Data da Competência]]))</f>
        <v>4</v>
      </c>
      <c r="L91">
        <f>IF(TbRegistroEntradas[[#This Row],[Data da Competência]]="",0,YEAR(TbRegistroEntradas[[#This Row],[Data da Competência]]))</f>
        <v>2018</v>
      </c>
      <c r="M91">
        <f>IF(TbRegistroEntradas[[#This Row],[Data do Caixa Previsto]]="",0,MONTH(TbRegistroEntradas[[#This Row],[Data do Caixa Previsto]]))</f>
        <v>6</v>
      </c>
      <c r="N91">
        <f>IF(TbRegistroEntradas[[#This Row],[Data do Caixa Previsto]]="",0,YEAR(TbRegistroEntradas[[#This Row],[Data do Caixa Previsto]]))</f>
        <v>2018</v>
      </c>
      <c r="O91" t="str">
        <f ca="1">IF(AND(TbRegistroEntradas[[#This Row],[Data do Caixa Previsto]]&lt;TODAY(),TbRegistroEntradas[[#This Row],[Data do Caixa Realizado]]=""),"Vencida","Não Vencida")</f>
        <v>Vencida</v>
      </c>
      <c r="P91" t="str">
        <f>IF(TbRegistroEntradas[[#This Row],[Data da Competência]]=TbRegistroEntradas[[#This Row],[Data do Caixa Previsto]],"Vista","Prazo")</f>
        <v>Prazo</v>
      </c>
      <c r="Q9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2093</v>
      </c>
    </row>
    <row r="92" spans="2:17" x14ac:dyDescent="0.25">
      <c r="B92" s="11">
        <v>43224</v>
      </c>
      <c r="C92" s="11">
        <v>43204</v>
      </c>
      <c r="D92" s="11">
        <v>43224</v>
      </c>
      <c r="E92" t="s">
        <v>24</v>
      </c>
      <c r="F92" t="s">
        <v>34</v>
      </c>
      <c r="G92" t="s">
        <v>148</v>
      </c>
      <c r="H92" s="114">
        <v>1885</v>
      </c>
      <c r="I92">
        <f>IF(TbRegistroEntradas[[#This Row],[Data do Caixa Realizado]]="",0,MONTH(TbRegistroEntradas[[#This Row],[Data do Caixa Realizado]]))</f>
        <v>5</v>
      </c>
      <c r="J92">
        <f>IF(TbRegistroEntradas[[#This Row],[Data do Caixa Realizado]]="",0,YEAR(TbRegistroEntradas[[#This Row],[Data do Caixa Realizado]]))</f>
        <v>2018</v>
      </c>
      <c r="K92">
        <f>IF(TbRegistroEntradas[[#This Row],[Data da Competência]]="",0,MONTH(TbRegistroEntradas[[#This Row],[Data da Competência]]))</f>
        <v>4</v>
      </c>
      <c r="L92">
        <f>IF(TbRegistroEntradas[[#This Row],[Data da Competência]]="",0,YEAR(TbRegistroEntradas[[#This Row],[Data da Competência]]))</f>
        <v>2018</v>
      </c>
      <c r="M92">
        <f>IF(TbRegistroEntradas[[#This Row],[Data do Caixa Previsto]]="",0,MONTH(TbRegistroEntradas[[#This Row],[Data do Caixa Previsto]]))</f>
        <v>5</v>
      </c>
      <c r="N92">
        <f>IF(TbRegistroEntradas[[#This Row],[Data do Caixa Previsto]]="",0,YEAR(TbRegistroEntradas[[#This Row],[Data do Caixa Previsto]]))</f>
        <v>2018</v>
      </c>
      <c r="O92" t="str">
        <f ca="1">IF(AND(TbRegistroEntradas[[#This Row],[Data do Caixa Previsto]]&lt;TODAY(),TbRegistroEntradas[[#This Row],[Data do Caixa Realizado]]=""),"Vencida","Não Vencida")</f>
        <v>Não Vencida</v>
      </c>
      <c r="P92" t="str">
        <f>IF(TbRegistroEntradas[[#This Row],[Data da Competência]]=TbRegistroEntradas[[#This Row],[Data do Caixa Previsto]],"Vista","Prazo")</f>
        <v>Prazo</v>
      </c>
      <c r="Q9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93" spans="2:17" x14ac:dyDescent="0.25">
      <c r="B93" s="11">
        <v>43295</v>
      </c>
      <c r="C93" s="11">
        <v>43209</v>
      </c>
      <c r="D93" s="11">
        <v>43209</v>
      </c>
      <c r="E93" t="s">
        <v>24</v>
      </c>
      <c r="F93" t="s">
        <v>34</v>
      </c>
      <c r="G93" t="s">
        <v>149</v>
      </c>
      <c r="H93" s="114">
        <v>2224</v>
      </c>
      <c r="I93">
        <f>IF(TbRegistroEntradas[[#This Row],[Data do Caixa Realizado]]="",0,MONTH(TbRegistroEntradas[[#This Row],[Data do Caixa Realizado]]))</f>
        <v>7</v>
      </c>
      <c r="J93">
        <f>IF(TbRegistroEntradas[[#This Row],[Data do Caixa Realizado]]="",0,YEAR(TbRegistroEntradas[[#This Row],[Data do Caixa Realizado]]))</f>
        <v>2018</v>
      </c>
      <c r="K93">
        <f>IF(TbRegistroEntradas[[#This Row],[Data da Competência]]="",0,MONTH(TbRegistroEntradas[[#This Row],[Data da Competência]]))</f>
        <v>4</v>
      </c>
      <c r="L93">
        <f>IF(TbRegistroEntradas[[#This Row],[Data da Competência]]="",0,YEAR(TbRegistroEntradas[[#This Row],[Data da Competência]]))</f>
        <v>2018</v>
      </c>
      <c r="M93">
        <f>IF(TbRegistroEntradas[[#This Row],[Data do Caixa Previsto]]="",0,MONTH(TbRegistroEntradas[[#This Row],[Data do Caixa Previsto]]))</f>
        <v>4</v>
      </c>
      <c r="N93">
        <f>IF(TbRegistroEntradas[[#This Row],[Data do Caixa Previsto]]="",0,YEAR(TbRegistroEntradas[[#This Row],[Data do Caixa Previsto]]))</f>
        <v>2018</v>
      </c>
      <c r="O93" t="str">
        <f ca="1">IF(AND(TbRegistroEntradas[[#This Row],[Data do Caixa Previsto]]&lt;TODAY(),TbRegistroEntradas[[#This Row],[Data do Caixa Realizado]]=""),"Vencida","Não Vencida")</f>
        <v>Não Vencida</v>
      </c>
      <c r="P93" t="str">
        <f>IF(TbRegistroEntradas[[#This Row],[Data da Competência]]=TbRegistroEntradas[[#This Row],[Data do Caixa Previsto]],"Vista","Prazo")</f>
        <v>Vista</v>
      </c>
      <c r="Q9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86</v>
      </c>
    </row>
    <row r="94" spans="2:17" x14ac:dyDescent="0.25">
      <c r="B94" s="11">
        <v>43234</v>
      </c>
      <c r="C94" s="11">
        <v>43213</v>
      </c>
      <c r="D94" s="11">
        <v>43234</v>
      </c>
      <c r="E94" t="s">
        <v>24</v>
      </c>
      <c r="F94" t="s">
        <v>34</v>
      </c>
      <c r="G94" t="s">
        <v>150</v>
      </c>
      <c r="H94" s="114">
        <v>3223</v>
      </c>
      <c r="I94">
        <f>IF(TbRegistroEntradas[[#This Row],[Data do Caixa Realizado]]="",0,MONTH(TbRegistroEntradas[[#This Row],[Data do Caixa Realizado]]))</f>
        <v>5</v>
      </c>
      <c r="J94">
        <f>IF(TbRegistroEntradas[[#This Row],[Data do Caixa Realizado]]="",0,YEAR(TbRegistroEntradas[[#This Row],[Data do Caixa Realizado]]))</f>
        <v>2018</v>
      </c>
      <c r="K94">
        <f>IF(TbRegistroEntradas[[#This Row],[Data da Competência]]="",0,MONTH(TbRegistroEntradas[[#This Row],[Data da Competência]]))</f>
        <v>4</v>
      </c>
      <c r="L94">
        <f>IF(TbRegistroEntradas[[#This Row],[Data da Competência]]="",0,YEAR(TbRegistroEntradas[[#This Row],[Data da Competência]]))</f>
        <v>2018</v>
      </c>
      <c r="M94">
        <f>IF(TbRegistroEntradas[[#This Row],[Data do Caixa Previsto]]="",0,MONTH(TbRegistroEntradas[[#This Row],[Data do Caixa Previsto]]))</f>
        <v>5</v>
      </c>
      <c r="N94">
        <f>IF(TbRegistroEntradas[[#This Row],[Data do Caixa Previsto]]="",0,YEAR(TbRegistroEntradas[[#This Row],[Data do Caixa Previsto]]))</f>
        <v>2018</v>
      </c>
      <c r="O94" t="str">
        <f ca="1">IF(AND(TbRegistroEntradas[[#This Row],[Data do Caixa Previsto]]&lt;TODAY(),TbRegistroEntradas[[#This Row],[Data do Caixa Realizado]]=""),"Vencida","Não Vencida")</f>
        <v>Não Vencida</v>
      </c>
      <c r="P94" t="str">
        <f>IF(TbRegistroEntradas[[#This Row],[Data da Competência]]=TbRegistroEntradas[[#This Row],[Data do Caixa Previsto]],"Vista","Prazo")</f>
        <v>Prazo</v>
      </c>
      <c r="Q9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95" spans="2:17" x14ac:dyDescent="0.25">
      <c r="B95" s="11">
        <v>43216</v>
      </c>
      <c r="C95" s="11">
        <v>43216</v>
      </c>
      <c r="D95" s="11">
        <v>43216</v>
      </c>
      <c r="E95" t="s">
        <v>24</v>
      </c>
      <c r="F95" t="s">
        <v>33</v>
      </c>
      <c r="G95" t="s">
        <v>151</v>
      </c>
      <c r="H95" s="114">
        <v>3446</v>
      </c>
      <c r="I95">
        <f>IF(TbRegistroEntradas[[#This Row],[Data do Caixa Realizado]]="",0,MONTH(TbRegistroEntradas[[#This Row],[Data do Caixa Realizado]]))</f>
        <v>4</v>
      </c>
      <c r="J95">
        <f>IF(TbRegistroEntradas[[#This Row],[Data do Caixa Realizado]]="",0,YEAR(TbRegistroEntradas[[#This Row],[Data do Caixa Realizado]]))</f>
        <v>2018</v>
      </c>
      <c r="K95">
        <f>IF(TbRegistroEntradas[[#This Row],[Data da Competência]]="",0,MONTH(TbRegistroEntradas[[#This Row],[Data da Competência]]))</f>
        <v>4</v>
      </c>
      <c r="L95">
        <f>IF(TbRegistroEntradas[[#This Row],[Data da Competência]]="",0,YEAR(TbRegistroEntradas[[#This Row],[Data da Competência]]))</f>
        <v>2018</v>
      </c>
      <c r="M95">
        <f>IF(TbRegistroEntradas[[#This Row],[Data do Caixa Previsto]]="",0,MONTH(TbRegistroEntradas[[#This Row],[Data do Caixa Previsto]]))</f>
        <v>4</v>
      </c>
      <c r="N95">
        <f>IF(TbRegistroEntradas[[#This Row],[Data do Caixa Previsto]]="",0,YEAR(TbRegistroEntradas[[#This Row],[Data do Caixa Previsto]]))</f>
        <v>2018</v>
      </c>
      <c r="O95" t="str">
        <f ca="1">IF(AND(TbRegistroEntradas[[#This Row],[Data do Caixa Previsto]]&lt;TODAY(),TbRegistroEntradas[[#This Row],[Data do Caixa Realizado]]=""),"Vencida","Não Vencida")</f>
        <v>Não Vencida</v>
      </c>
      <c r="P95" t="str">
        <f>IF(TbRegistroEntradas[[#This Row],[Data da Competência]]=TbRegistroEntradas[[#This Row],[Data do Caixa Previsto]],"Vista","Prazo")</f>
        <v>Vista</v>
      </c>
      <c r="Q9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96" spans="2:17" x14ac:dyDescent="0.25">
      <c r="B96" s="11">
        <v>43226</v>
      </c>
      <c r="C96" s="11">
        <v>43220</v>
      </c>
      <c r="D96" s="11">
        <v>43220</v>
      </c>
      <c r="E96" t="s">
        <v>24</v>
      </c>
      <c r="F96" t="s">
        <v>34</v>
      </c>
      <c r="G96" t="s">
        <v>152</v>
      </c>
      <c r="H96" s="114">
        <v>4540</v>
      </c>
      <c r="I96">
        <f>IF(TbRegistroEntradas[[#This Row],[Data do Caixa Realizado]]="",0,MONTH(TbRegistroEntradas[[#This Row],[Data do Caixa Realizado]]))</f>
        <v>5</v>
      </c>
      <c r="J96">
        <f>IF(TbRegistroEntradas[[#This Row],[Data do Caixa Realizado]]="",0,YEAR(TbRegistroEntradas[[#This Row],[Data do Caixa Realizado]]))</f>
        <v>2018</v>
      </c>
      <c r="K96">
        <f>IF(TbRegistroEntradas[[#This Row],[Data da Competência]]="",0,MONTH(TbRegistroEntradas[[#This Row],[Data da Competência]]))</f>
        <v>4</v>
      </c>
      <c r="L96">
        <f>IF(TbRegistroEntradas[[#This Row],[Data da Competência]]="",0,YEAR(TbRegistroEntradas[[#This Row],[Data da Competência]]))</f>
        <v>2018</v>
      </c>
      <c r="M96">
        <f>IF(TbRegistroEntradas[[#This Row],[Data do Caixa Previsto]]="",0,MONTH(TbRegistroEntradas[[#This Row],[Data do Caixa Previsto]]))</f>
        <v>4</v>
      </c>
      <c r="N96">
        <f>IF(TbRegistroEntradas[[#This Row],[Data do Caixa Previsto]]="",0,YEAR(TbRegistroEntradas[[#This Row],[Data do Caixa Previsto]]))</f>
        <v>2018</v>
      </c>
      <c r="O96" t="str">
        <f ca="1">IF(AND(TbRegistroEntradas[[#This Row],[Data do Caixa Previsto]]&lt;TODAY(),TbRegistroEntradas[[#This Row],[Data do Caixa Realizado]]=""),"Vencida","Não Vencida")</f>
        <v>Não Vencida</v>
      </c>
      <c r="P96" t="str">
        <f>IF(TbRegistroEntradas[[#This Row],[Data da Competência]]=TbRegistroEntradas[[#This Row],[Data do Caixa Previsto]],"Vista","Prazo")</f>
        <v>Vista</v>
      </c>
      <c r="Q9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6</v>
      </c>
    </row>
    <row r="97" spans="2:17" x14ac:dyDescent="0.25">
      <c r="B97" s="11">
        <v>43283</v>
      </c>
      <c r="C97" s="11">
        <v>43228</v>
      </c>
      <c r="D97" s="11">
        <v>43283</v>
      </c>
      <c r="E97" t="s">
        <v>24</v>
      </c>
      <c r="F97" t="s">
        <v>35</v>
      </c>
      <c r="G97" t="s">
        <v>153</v>
      </c>
      <c r="H97" s="114">
        <v>3862</v>
      </c>
      <c r="I97">
        <f>IF(TbRegistroEntradas[[#This Row],[Data do Caixa Realizado]]="",0,MONTH(TbRegistroEntradas[[#This Row],[Data do Caixa Realizado]]))</f>
        <v>7</v>
      </c>
      <c r="J97">
        <f>IF(TbRegistroEntradas[[#This Row],[Data do Caixa Realizado]]="",0,YEAR(TbRegistroEntradas[[#This Row],[Data do Caixa Realizado]]))</f>
        <v>2018</v>
      </c>
      <c r="K97">
        <f>IF(TbRegistroEntradas[[#This Row],[Data da Competência]]="",0,MONTH(TbRegistroEntradas[[#This Row],[Data da Competência]]))</f>
        <v>5</v>
      </c>
      <c r="L97">
        <f>IF(TbRegistroEntradas[[#This Row],[Data da Competência]]="",0,YEAR(TbRegistroEntradas[[#This Row],[Data da Competência]]))</f>
        <v>2018</v>
      </c>
      <c r="M97">
        <f>IF(TbRegistroEntradas[[#This Row],[Data do Caixa Previsto]]="",0,MONTH(TbRegistroEntradas[[#This Row],[Data do Caixa Previsto]]))</f>
        <v>7</v>
      </c>
      <c r="N97">
        <f>IF(TbRegistroEntradas[[#This Row],[Data do Caixa Previsto]]="",0,YEAR(TbRegistroEntradas[[#This Row],[Data do Caixa Previsto]]))</f>
        <v>2018</v>
      </c>
      <c r="O97" t="str">
        <f ca="1">IF(AND(TbRegistroEntradas[[#This Row],[Data do Caixa Previsto]]&lt;TODAY(),TbRegistroEntradas[[#This Row],[Data do Caixa Realizado]]=""),"Vencida","Não Vencida")</f>
        <v>Não Vencida</v>
      </c>
      <c r="P97" t="str">
        <f>IF(TbRegistroEntradas[[#This Row],[Data da Competência]]=TbRegistroEntradas[[#This Row],[Data do Caixa Previsto]],"Vista","Prazo")</f>
        <v>Prazo</v>
      </c>
      <c r="Q9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98" spans="2:17" x14ac:dyDescent="0.25">
      <c r="B98" s="11">
        <v>43311</v>
      </c>
      <c r="C98" s="11">
        <v>43231</v>
      </c>
      <c r="D98" s="11">
        <v>43279</v>
      </c>
      <c r="E98" t="s">
        <v>24</v>
      </c>
      <c r="F98" t="s">
        <v>33</v>
      </c>
      <c r="G98" t="s">
        <v>154</v>
      </c>
      <c r="H98" s="114">
        <v>611</v>
      </c>
      <c r="I98">
        <f>IF(TbRegistroEntradas[[#This Row],[Data do Caixa Realizado]]="",0,MONTH(TbRegistroEntradas[[#This Row],[Data do Caixa Realizado]]))</f>
        <v>7</v>
      </c>
      <c r="J98">
        <f>IF(TbRegistroEntradas[[#This Row],[Data do Caixa Realizado]]="",0,YEAR(TbRegistroEntradas[[#This Row],[Data do Caixa Realizado]]))</f>
        <v>2018</v>
      </c>
      <c r="K98">
        <f>IF(TbRegistroEntradas[[#This Row],[Data da Competência]]="",0,MONTH(TbRegistroEntradas[[#This Row],[Data da Competência]]))</f>
        <v>5</v>
      </c>
      <c r="L98">
        <f>IF(TbRegistroEntradas[[#This Row],[Data da Competência]]="",0,YEAR(TbRegistroEntradas[[#This Row],[Data da Competência]]))</f>
        <v>2018</v>
      </c>
      <c r="M98">
        <f>IF(TbRegistroEntradas[[#This Row],[Data do Caixa Previsto]]="",0,MONTH(TbRegistroEntradas[[#This Row],[Data do Caixa Previsto]]))</f>
        <v>6</v>
      </c>
      <c r="N98">
        <f>IF(TbRegistroEntradas[[#This Row],[Data do Caixa Previsto]]="",0,YEAR(TbRegistroEntradas[[#This Row],[Data do Caixa Previsto]]))</f>
        <v>2018</v>
      </c>
      <c r="O98" t="str">
        <f ca="1">IF(AND(TbRegistroEntradas[[#This Row],[Data do Caixa Previsto]]&lt;TODAY(),TbRegistroEntradas[[#This Row],[Data do Caixa Realizado]]=""),"Vencida","Não Vencida")</f>
        <v>Não Vencida</v>
      </c>
      <c r="P98" t="str">
        <f>IF(TbRegistroEntradas[[#This Row],[Data da Competência]]=TbRegistroEntradas[[#This Row],[Data do Caixa Previsto]],"Vista","Prazo")</f>
        <v>Prazo</v>
      </c>
      <c r="Q9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32</v>
      </c>
    </row>
    <row r="99" spans="2:17" x14ac:dyDescent="0.25">
      <c r="B99" s="11">
        <v>43233</v>
      </c>
      <c r="C99" s="11">
        <v>43233</v>
      </c>
      <c r="D99" s="11">
        <v>43233</v>
      </c>
      <c r="E99" t="s">
        <v>24</v>
      </c>
      <c r="F99" t="s">
        <v>31</v>
      </c>
      <c r="G99" t="s">
        <v>155</v>
      </c>
      <c r="H99" s="114">
        <v>1486</v>
      </c>
      <c r="I99">
        <f>IF(TbRegistroEntradas[[#This Row],[Data do Caixa Realizado]]="",0,MONTH(TbRegistroEntradas[[#This Row],[Data do Caixa Realizado]]))</f>
        <v>5</v>
      </c>
      <c r="J99">
        <f>IF(TbRegistroEntradas[[#This Row],[Data do Caixa Realizado]]="",0,YEAR(TbRegistroEntradas[[#This Row],[Data do Caixa Realizado]]))</f>
        <v>2018</v>
      </c>
      <c r="K99">
        <f>IF(TbRegistroEntradas[[#This Row],[Data da Competência]]="",0,MONTH(TbRegistroEntradas[[#This Row],[Data da Competência]]))</f>
        <v>5</v>
      </c>
      <c r="L99">
        <f>IF(TbRegistroEntradas[[#This Row],[Data da Competência]]="",0,YEAR(TbRegistroEntradas[[#This Row],[Data da Competência]]))</f>
        <v>2018</v>
      </c>
      <c r="M99">
        <f>IF(TbRegistroEntradas[[#This Row],[Data do Caixa Previsto]]="",0,MONTH(TbRegistroEntradas[[#This Row],[Data do Caixa Previsto]]))</f>
        <v>5</v>
      </c>
      <c r="N99">
        <f>IF(TbRegistroEntradas[[#This Row],[Data do Caixa Previsto]]="",0,YEAR(TbRegistroEntradas[[#This Row],[Data do Caixa Previsto]]))</f>
        <v>2018</v>
      </c>
      <c r="O99" t="str">
        <f ca="1">IF(AND(TbRegistroEntradas[[#This Row],[Data do Caixa Previsto]]&lt;TODAY(),TbRegistroEntradas[[#This Row],[Data do Caixa Realizado]]=""),"Vencida","Não Vencida")</f>
        <v>Não Vencida</v>
      </c>
      <c r="P99" t="str">
        <f>IF(TbRegistroEntradas[[#This Row],[Data da Competência]]=TbRegistroEntradas[[#This Row],[Data do Caixa Previsto]],"Vista","Prazo")</f>
        <v>Vista</v>
      </c>
      <c r="Q9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00" spans="2:17" x14ac:dyDescent="0.25">
      <c r="B100" s="11">
        <v>43252</v>
      </c>
      <c r="C100" s="11">
        <v>43241</v>
      </c>
      <c r="D100" s="11">
        <v>43252</v>
      </c>
      <c r="E100" t="s">
        <v>24</v>
      </c>
      <c r="F100" t="s">
        <v>34</v>
      </c>
      <c r="G100" t="s">
        <v>156</v>
      </c>
      <c r="H100" s="114">
        <v>4850</v>
      </c>
      <c r="I100">
        <f>IF(TbRegistroEntradas[[#This Row],[Data do Caixa Realizado]]="",0,MONTH(TbRegistroEntradas[[#This Row],[Data do Caixa Realizado]]))</f>
        <v>6</v>
      </c>
      <c r="J100">
        <f>IF(TbRegistroEntradas[[#This Row],[Data do Caixa Realizado]]="",0,YEAR(TbRegistroEntradas[[#This Row],[Data do Caixa Realizado]]))</f>
        <v>2018</v>
      </c>
      <c r="K100">
        <f>IF(TbRegistroEntradas[[#This Row],[Data da Competência]]="",0,MONTH(TbRegistroEntradas[[#This Row],[Data da Competência]]))</f>
        <v>5</v>
      </c>
      <c r="L100">
        <f>IF(TbRegistroEntradas[[#This Row],[Data da Competência]]="",0,YEAR(TbRegistroEntradas[[#This Row],[Data da Competência]]))</f>
        <v>2018</v>
      </c>
      <c r="M100">
        <f>IF(TbRegistroEntradas[[#This Row],[Data do Caixa Previsto]]="",0,MONTH(TbRegistroEntradas[[#This Row],[Data do Caixa Previsto]]))</f>
        <v>6</v>
      </c>
      <c r="N100">
        <f>IF(TbRegistroEntradas[[#This Row],[Data do Caixa Previsto]]="",0,YEAR(TbRegistroEntradas[[#This Row],[Data do Caixa Previsto]]))</f>
        <v>2018</v>
      </c>
      <c r="O100" t="str">
        <f ca="1">IF(AND(TbRegistroEntradas[[#This Row],[Data do Caixa Previsto]]&lt;TODAY(),TbRegistroEntradas[[#This Row],[Data do Caixa Realizado]]=""),"Vencida","Não Vencida")</f>
        <v>Não Vencida</v>
      </c>
      <c r="P100" t="str">
        <f>IF(TbRegistroEntradas[[#This Row],[Data da Competência]]=TbRegistroEntradas[[#This Row],[Data do Caixa Previsto]],"Vista","Prazo")</f>
        <v>Prazo</v>
      </c>
      <c r="Q10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01" spans="2:17" x14ac:dyDescent="0.25">
      <c r="B101" s="11">
        <v>43275</v>
      </c>
      <c r="C101" s="11">
        <v>43244</v>
      </c>
      <c r="D101" s="11">
        <v>43275</v>
      </c>
      <c r="E101" t="s">
        <v>24</v>
      </c>
      <c r="F101" t="s">
        <v>31</v>
      </c>
      <c r="G101" t="s">
        <v>95</v>
      </c>
      <c r="H101" s="114">
        <v>3878</v>
      </c>
      <c r="I101">
        <f>IF(TbRegistroEntradas[[#This Row],[Data do Caixa Realizado]]="",0,MONTH(TbRegistroEntradas[[#This Row],[Data do Caixa Realizado]]))</f>
        <v>6</v>
      </c>
      <c r="J101">
        <f>IF(TbRegistroEntradas[[#This Row],[Data do Caixa Realizado]]="",0,YEAR(TbRegistroEntradas[[#This Row],[Data do Caixa Realizado]]))</f>
        <v>2018</v>
      </c>
      <c r="K101">
        <f>IF(TbRegistroEntradas[[#This Row],[Data da Competência]]="",0,MONTH(TbRegistroEntradas[[#This Row],[Data da Competência]]))</f>
        <v>5</v>
      </c>
      <c r="L101">
        <f>IF(TbRegistroEntradas[[#This Row],[Data da Competência]]="",0,YEAR(TbRegistroEntradas[[#This Row],[Data da Competência]]))</f>
        <v>2018</v>
      </c>
      <c r="M101">
        <f>IF(TbRegistroEntradas[[#This Row],[Data do Caixa Previsto]]="",0,MONTH(TbRegistroEntradas[[#This Row],[Data do Caixa Previsto]]))</f>
        <v>6</v>
      </c>
      <c r="N101">
        <f>IF(TbRegistroEntradas[[#This Row],[Data do Caixa Previsto]]="",0,YEAR(TbRegistroEntradas[[#This Row],[Data do Caixa Previsto]]))</f>
        <v>2018</v>
      </c>
      <c r="O101" t="str">
        <f ca="1">IF(AND(TbRegistroEntradas[[#This Row],[Data do Caixa Previsto]]&lt;TODAY(),TbRegistroEntradas[[#This Row],[Data do Caixa Realizado]]=""),"Vencida","Não Vencida")</f>
        <v>Não Vencida</v>
      </c>
      <c r="P101" t="str">
        <f>IF(TbRegistroEntradas[[#This Row],[Data da Competência]]=TbRegistroEntradas[[#This Row],[Data do Caixa Previsto]],"Vista","Prazo")</f>
        <v>Prazo</v>
      </c>
      <c r="Q10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02" spans="2:17" x14ac:dyDescent="0.25">
      <c r="B102" s="11">
        <v>43275</v>
      </c>
      <c r="C102" s="11">
        <v>43249</v>
      </c>
      <c r="D102" s="11">
        <v>43275</v>
      </c>
      <c r="E102" t="s">
        <v>24</v>
      </c>
      <c r="F102" t="s">
        <v>31</v>
      </c>
      <c r="G102" t="s">
        <v>157</v>
      </c>
      <c r="H102" s="114">
        <v>976</v>
      </c>
      <c r="I102">
        <f>IF(TbRegistroEntradas[[#This Row],[Data do Caixa Realizado]]="",0,MONTH(TbRegistroEntradas[[#This Row],[Data do Caixa Realizado]]))</f>
        <v>6</v>
      </c>
      <c r="J102">
        <f>IF(TbRegistroEntradas[[#This Row],[Data do Caixa Realizado]]="",0,YEAR(TbRegistroEntradas[[#This Row],[Data do Caixa Realizado]]))</f>
        <v>2018</v>
      </c>
      <c r="K102">
        <f>IF(TbRegistroEntradas[[#This Row],[Data da Competência]]="",0,MONTH(TbRegistroEntradas[[#This Row],[Data da Competência]]))</f>
        <v>5</v>
      </c>
      <c r="L102">
        <f>IF(TbRegistroEntradas[[#This Row],[Data da Competência]]="",0,YEAR(TbRegistroEntradas[[#This Row],[Data da Competência]]))</f>
        <v>2018</v>
      </c>
      <c r="M102">
        <f>IF(TbRegistroEntradas[[#This Row],[Data do Caixa Previsto]]="",0,MONTH(TbRegistroEntradas[[#This Row],[Data do Caixa Previsto]]))</f>
        <v>6</v>
      </c>
      <c r="N102">
        <f>IF(TbRegistroEntradas[[#This Row],[Data do Caixa Previsto]]="",0,YEAR(TbRegistroEntradas[[#This Row],[Data do Caixa Previsto]]))</f>
        <v>2018</v>
      </c>
      <c r="O102" t="str">
        <f ca="1">IF(AND(TbRegistroEntradas[[#This Row],[Data do Caixa Previsto]]&lt;TODAY(),TbRegistroEntradas[[#This Row],[Data do Caixa Realizado]]=""),"Vencida","Não Vencida")</f>
        <v>Não Vencida</v>
      </c>
      <c r="P102" t="str">
        <f>IF(TbRegistroEntradas[[#This Row],[Data da Competência]]=TbRegistroEntradas[[#This Row],[Data do Caixa Previsto]],"Vista","Prazo")</f>
        <v>Prazo</v>
      </c>
      <c r="Q10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03" spans="2:17" x14ac:dyDescent="0.25">
      <c r="B103" s="11">
        <v>43265</v>
      </c>
      <c r="C103" s="11">
        <v>43250</v>
      </c>
      <c r="D103" s="11">
        <v>43265</v>
      </c>
      <c r="E103" t="s">
        <v>24</v>
      </c>
      <c r="F103" t="s">
        <v>35</v>
      </c>
      <c r="G103" t="s">
        <v>158</v>
      </c>
      <c r="H103" s="114">
        <v>3346</v>
      </c>
      <c r="I103">
        <f>IF(TbRegistroEntradas[[#This Row],[Data do Caixa Realizado]]="",0,MONTH(TbRegistroEntradas[[#This Row],[Data do Caixa Realizado]]))</f>
        <v>6</v>
      </c>
      <c r="J103">
        <f>IF(TbRegistroEntradas[[#This Row],[Data do Caixa Realizado]]="",0,YEAR(TbRegistroEntradas[[#This Row],[Data do Caixa Realizado]]))</f>
        <v>2018</v>
      </c>
      <c r="K103">
        <f>IF(TbRegistroEntradas[[#This Row],[Data da Competência]]="",0,MONTH(TbRegistroEntradas[[#This Row],[Data da Competência]]))</f>
        <v>5</v>
      </c>
      <c r="L103">
        <f>IF(TbRegistroEntradas[[#This Row],[Data da Competência]]="",0,YEAR(TbRegistroEntradas[[#This Row],[Data da Competência]]))</f>
        <v>2018</v>
      </c>
      <c r="M103">
        <f>IF(TbRegistroEntradas[[#This Row],[Data do Caixa Previsto]]="",0,MONTH(TbRegistroEntradas[[#This Row],[Data do Caixa Previsto]]))</f>
        <v>6</v>
      </c>
      <c r="N103">
        <f>IF(TbRegistroEntradas[[#This Row],[Data do Caixa Previsto]]="",0,YEAR(TbRegistroEntradas[[#This Row],[Data do Caixa Previsto]]))</f>
        <v>2018</v>
      </c>
      <c r="O103" t="str">
        <f ca="1">IF(AND(TbRegistroEntradas[[#This Row],[Data do Caixa Previsto]]&lt;TODAY(),TbRegistroEntradas[[#This Row],[Data do Caixa Realizado]]=""),"Vencida","Não Vencida")</f>
        <v>Não Vencida</v>
      </c>
      <c r="P103" t="str">
        <f>IF(TbRegistroEntradas[[#This Row],[Data da Competência]]=TbRegistroEntradas[[#This Row],[Data do Caixa Previsto]],"Vista","Prazo")</f>
        <v>Prazo</v>
      </c>
      <c r="Q10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04" spans="2:17" x14ac:dyDescent="0.25">
      <c r="B104" s="11">
        <v>43340</v>
      </c>
      <c r="C104" s="11">
        <v>43254</v>
      </c>
      <c r="D104" s="11">
        <v>43313</v>
      </c>
      <c r="E104" t="s">
        <v>24</v>
      </c>
      <c r="F104" t="s">
        <v>33</v>
      </c>
      <c r="G104" t="s">
        <v>159</v>
      </c>
      <c r="H104" s="114">
        <v>443</v>
      </c>
      <c r="I104">
        <f>IF(TbRegistroEntradas[[#This Row],[Data do Caixa Realizado]]="",0,MONTH(TbRegistroEntradas[[#This Row],[Data do Caixa Realizado]]))</f>
        <v>8</v>
      </c>
      <c r="J104">
        <f>IF(TbRegistroEntradas[[#This Row],[Data do Caixa Realizado]]="",0,YEAR(TbRegistroEntradas[[#This Row],[Data do Caixa Realizado]]))</f>
        <v>2018</v>
      </c>
      <c r="K104">
        <f>IF(TbRegistroEntradas[[#This Row],[Data da Competência]]="",0,MONTH(TbRegistroEntradas[[#This Row],[Data da Competência]]))</f>
        <v>6</v>
      </c>
      <c r="L104">
        <f>IF(TbRegistroEntradas[[#This Row],[Data da Competência]]="",0,YEAR(TbRegistroEntradas[[#This Row],[Data da Competência]]))</f>
        <v>2018</v>
      </c>
      <c r="M104">
        <f>IF(TbRegistroEntradas[[#This Row],[Data do Caixa Previsto]]="",0,MONTH(TbRegistroEntradas[[#This Row],[Data do Caixa Previsto]]))</f>
        <v>8</v>
      </c>
      <c r="N104">
        <f>IF(TbRegistroEntradas[[#This Row],[Data do Caixa Previsto]]="",0,YEAR(TbRegistroEntradas[[#This Row],[Data do Caixa Previsto]]))</f>
        <v>2018</v>
      </c>
      <c r="O104" t="str">
        <f ca="1">IF(AND(TbRegistroEntradas[[#This Row],[Data do Caixa Previsto]]&lt;TODAY(),TbRegistroEntradas[[#This Row],[Data do Caixa Realizado]]=""),"Vencida","Não Vencida")</f>
        <v>Não Vencida</v>
      </c>
      <c r="P104" t="str">
        <f>IF(TbRegistroEntradas[[#This Row],[Data da Competência]]=TbRegistroEntradas[[#This Row],[Data do Caixa Previsto]],"Vista","Prazo")</f>
        <v>Prazo</v>
      </c>
      <c r="Q10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27</v>
      </c>
    </row>
    <row r="105" spans="2:17" x14ac:dyDescent="0.25">
      <c r="B105" s="11">
        <v>43255</v>
      </c>
      <c r="C105" s="11">
        <v>43255</v>
      </c>
      <c r="D105" s="11">
        <v>43255</v>
      </c>
      <c r="E105" t="s">
        <v>24</v>
      </c>
      <c r="F105" t="s">
        <v>33</v>
      </c>
      <c r="G105" t="s">
        <v>160</v>
      </c>
      <c r="H105" s="114">
        <v>2781</v>
      </c>
      <c r="I105">
        <f>IF(TbRegistroEntradas[[#This Row],[Data do Caixa Realizado]]="",0,MONTH(TbRegistroEntradas[[#This Row],[Data do Caixa Realizado]]))</f>
        <v>6</v>
      </c>
      <c r="J105">
        <f>IF(TbRegistroEntradas[[#This Row],[Data do Caixa Realizado]]="",0,YEAR(TbRegistroEntradas[[#This Row],[Data do Caixa Realizado]]))</f>
        <v>2018</v>
      </c>
      <c r="K105">
        <f>IF(TbRegistroEntradas[[#This Row],[Data da Competência]]="",0,MONTH(TbRegistroEntradas[[#This Row],[Data da Competência]]))</f>
        <v>6</v>
      </c>
      <c r="L105">
        <f>IF(TbRegistroEntradas[[#This Row],[Data da Competência]]="",0,YEAR(TbRegistroEntradas[[#This Row],[Data da Competência]]))</f>
        <v>2018</v>
      </c>
      <c r="M105">
        <f>IF(TbRegistroEntradas[[#This Row],[Data do Caixa Previsto]]="",0,MONTH(TbRegistroEntradas[[#This Row],[Data do Caixa Previsto]]))</f>
        <v>6</v>
      </c>
      <c r="N105">
        <f>IF(TbRegistroEntradas[[#This Row],[Data do Caixa Previsto]]="",0,YEAR(TbRegistroEntradas[[#This Row],[Data do Caixa Previsto]]))</f>
        <v>2018</v>
      </c>
      <c r="O105" t="str">
        <f ca="1">IF(AND(TbRegistroEntradas[[#This Row],[Data do Caixa Previsto]]&lt;TODAY(),TbRegistroEntradas[[#This Row],[Data do Caixa Realizado]]=""),"Vencida","Não Vencida")</f>
        <v>Não Vencida</v>
      </c>
      <c r="P105" t="str">
        <f>IF(TbRegistroEntradas[[#This Row],[Data da Competência]]=TbRegistroEntradas[[#This Row],[Data do Caixa Previsto]],"Vista","Prazo")</f>
        <v>Vista</v>
      </c>
      <c r="Q10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06" spans="2:17" x14ac:dyDescent="0.25">
      <c r="B106" s="11">
        <v>43267</v>
      </c>
      <c r="C106" s="11">
        <v>43256</v>
      </c>
      <c r="D106" s="11">
        <v>43267</v>
      </c>
      <c r="E106" t="s">
        <v>24</v>
      </c>
      <c r="F106" t="s">
        <v>31</v>
      </c>
      <c r="G106" t="s">
        <v>161</v>
      </c>
      <c r="H106" s="114">
        <v>1875</v>
      </c>
      <c r="I106">
        <f>IF(TbRegistroEntradas[[#This Row],[Data do Caixa Realizado]]="",0,MONTH(TbRegistroEntradas[[#This Row],[Data do Caixa Realizado]]))</f>
        <v>6</v>
      </c>
      <c r="J106">
        <f>IF(TbRegistroEntradas[[#This Row],[Data do Caixa Realizado]]="",0,YEAR(TbRegistroEntradas[[#This Row],[Data do Caixa Realizado]]))</f>
        <v>2018</v>
      </c>
      <c r="K106">
        <f>IF(TbRegistroEntradas[[#This Row],[Data da Competência]]="",0,MONTH(TbRegistroEntradas[[#This Row],[Data da Competência]]))</f>
        <v>6</v>
      </c>
      <c r="L106">
        <f>IF(TbRegistroEntradas[[#This Row],[Data da Competência]]="",0,YEAR(TbRegistroEntradas[[#This Row],[Data da Competência]]))</f>
        <v>2018</v>
      </c>
      <c r="M106">
        <f>IF(TbRegistroEntradas[[#This Row],[Data do Caixa Previsto]]="",0,MONTH(TbRegistroEntradas[[#This Row],[Data do Caixa Previsto]]))</f>
        <v>6</v>
      </c>
      <c r="N106">
        <f>IF(TbRegistroEntradas[[#This Row],[Data do Caixa Previsto]]="",0,YEAR(TbRegistroEntradas[[#This Row],[Data do Caixa Previsto]]))</f>
        <v>2018</v>
      </c>
      <c r="O106" t="str">
        <f ca="1">IF(AND(TbRegistroEntradas[[#This Row],[Data do Caixa Previsto]]&lt;TODAY(),TbRegistroEntradas[[#This Row],[Data do Caixa Realizado]]=""),"Vencida","Não Vencida")</f>
        <v>Não Vencida</v>
      </c>
      <c r="P106" t="str">
        <f>IF(TbRegistroEntradas[[#This Row],[Data da Competência]]=TbRegistroEntradas[[#This Row],[Data do Caixa Previsto]],"Vista","Prazo")</f>
        <v>Prazo</v>
      </c>
      <c r="Q10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07" spans="2:17" x14ac:dyDescent="0.25">
      <c r="B107" s="11">
        <v>43259</v>
      </c>
      <c r="C107" s="11">
        <v>43259</v>
      </c>
      <c r="D107" s="11">
        <v>43259</v>
      </c>
      <c r="E107" t="s">
        <v>24</v>
      </c>
      <c r="F107" t="s">
        <v>34</v>
      </c>
      <c r="G107" t="s">
        <v>162</v>
      </c>
      <c r="H107" s="114">
        <v>3134</v>
      </c>
      <c r="I107">
        <f>IF(TbRegistroEntradas[[#This Row],[Data do Caixa Realizado]]="",0,MONTH(TbRegistroEntradas[[#This Row],[Data do Caixa Realizado]]))</f>
        <v>6</v>
      </c>
      <c r="J107">
        <f>IF(TbRegistroEntradas[[#This Row],[Data do Caixa Realizado]]="",0,YEAR(TbRegistroEntradas[[#This Row],[Data do Caixa Realizado]]))</f>
        <v>2018</v>
      </c>
      <c r="K107">
        <f>IF(TbRegistroEntradas[[#This Row],[Data da Competência]]="",0,MONTH(TbRegistroEntradas[[#This Row],[Data da Competência]]))</f>
        <v>6</v>
      </c>
      <c r="L107">
        <f>IF(TbRegistroEntradas[[#This Row],[Data da Competência]]="",0,YEAR(TbRegistroEntradas[[#This Row],[Data da Competência]]))</f>
        <v>2018</v>
      </c>
      <c r="M107">
        <f>IF(TbRegistroEntradas[[#This Row],[Data do Caixa Previsto]]="",0,MONTH(TbRegistroEntradas[[#This Row],[Data do Caixa Previsto]]))</f>
        <v>6</v>
      </c>
      <c r="N107">
        <f>IF(TbRegistroEntradas[[#This Row],[Data do Caixa Previsto]]="",0,YEAR(TbRegistroEntradas[[#This Row],[Data do Caixa Previsto]]))</f>
        <v>2018</v>
      </c>
      <c r="O107" t="str">
        <f ca="1">IF(AND(TbRegistroEntradas[[#This Row],[Data do Caixa Previsto]]&lt;TODAY(),TbRegistroEntradas[[#This Row],[Data do Caixa Realizado]]=""),"Vencida","Não Vencida")</f>
        <v>Não Vencida</v>
      </c>
      <c r="P107" t="str">
        <f>IF(TbRegistroEntradas[[#This Row],[Data da Competência]]=TbRegistroEntradas[[#This Row],[Data do Caixa Previsto]],"Vista","Prazo")</f>
        <v>Vista</v>
      </c>
      <c r="Q10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08" spans="2:17" x14ac:dyDescent="0.25">
      <c r="B108" s="11">
        <v>43276</v>
      </c>
      <c r="C108" s="11">
        <v>43261</v>
      </c>
      <c r="D108" s="11">
        <v>43276</v>
      </c>
      <c r="E108" t="s">
        <v>24</v>
      </c>
      <c r="F108" t="s">
        <v>32</v>
      </c>
      <c r="G108" t="s">
        <v>163</v>
      </c>
      <c r="H108" s="114">
        <v>2114</v>
      </c>
      <c r="I108">
        <f>IF(TbRegistroEntradas[[#This Row],[Data do Caixa Realizado]]="",0,MONTH(TbRegistroEntradas[[#This Row],[Data do Caixa Realizado]]))</f>
        <v>6</v>
      </c>
      <c r="J108">
        <f>IF(TbRegistroEntradas[[#This Row],[Data do Caixa Realizado]]="",0,YEAR(TbRegistroEntradas[[#This Row],[Data do Caixa Realizado]]))</f>
        <v>2018</v>
      </c>
      <c r="K108">
        <f>IF(TbRegistroEntradas[[#This Row],[Data da Competência]]="",0,MONTH(TbRegistroEntradas[[#This Row],[Data da Competência]]))</f>
        <v>6</v>
      </c>
      <c r="L108">
        <f>IF(TbRegistroEntradas[[#This Row],[Data da Competência]]="",0,YEAR(TbRegistroEntradas[[#This Row],[Data da Competência]]))</f>
        <v>2018</v>
      </c>
      <c r="M108">
        <f>IF(TbRegistroEntradas[[#This Row],[Data do Caixa Previsto]]="",0,MONTH(TbRegistroEntradas[[#This Row],[Data do Caixa Previsto]]))</f>
        <v>6</v>
      </c>
      <c r="N108">
        <f>IF(TbRegistroEntradas[[#This Row],[Data do Caixa Previsto]]="",0,YEAR(TbRegistroEntradas[[#This Row],[Data do Caixa Previsto]]))</f>
        <v>2018</v>
      </c>
      <c r="O108" t="str">
        <f ca="1">IF(AND(TbRegistroEntradas[[#This Row],[Data do Caixa Previsto]]&lt;TODAY(),TbRegistroEntradas[[#This Row],[Data do Caixa Realizado]]=""),"Vencida","Não Vencida")</f>
        <v>Não Vencida</v>
      </c>
      <c r="P108" t="str">
        <f>IF(TbRegistroEntradas[[#This Row],[Data da Competência]]=TbRegistroEntradas[[#This Row],[Data do Caixa Previsto]],"Vista","Prazo")</f>
        <v>Prazo</v>
      </c>
      <c r="Q10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09" spans="2:17" x14ac:dyDescent="0.25">
      <c r="B109" s="11">
        <v>43320</v>
      </c>
      <c r="C109" s="11">
        <v>43264</v>
      </c>
      <c r="D109" s="11">
        <v>43320</v>
      </c>
      <c r="E109" t="s">
        <v>24</v>
      </c>
      <c r="F109" t="s">
        <v>31</v>
      </c>
      <c r="G109" t="s">
        <v>164</v>
      </c>
      <c r="H109" s="114">
        <v>4961</v>
      </c>
      <c r="I109">
        <f>IF(TbRegistroEntradas[[#This Row],[Data do Caixa Realizado]]="",0,MONTH(TbRegistroEntradas[[#This Row],[Data do Caixa Realizado]]))</f>
        <v>8</v>
      </c>
      <c r="J109">
        <f>IF(TbRegistroEntradas[[#This Row],[Data do Caixa Realizado]]="",0,YEAR(TbRegistroEntradas[[#This Row],[Data do Caixa Realizado]]))</f>
        <v>2018</v>
      </c>
      <c r="K109">
        <f>IF(TbRegistroEntradas[[#This Row],[Data da Competência]]="",0,MONTH(TbRegistroEntradas[[#This Row],[Data da Competência]]))</f>
        <v>6</v>
      </c>
      <c r="L109">
        <f>IF(TbRegistroEntradas[[#This Row],[Data da Competência]]="",0,YEAR(TbRegistroEntradas[[#This Row],[Data da Competência]]))</f>
        <v>2018</v>
      </c>
      <c r="M109">
        <f>IF(TbRegistroEntradas[[#This Row],[Data do Caixa Previsto]]="",0,MONTH(TbRegistroEntradas[[#This Row],[Data do Caixa Previsto]]))</f>
        <v>8</v>
      </c>
      <c r="N109">
        <f>IF(TbRegistroEntradas[[#This Row],[Data do Caixa Previsto]]="",0,YEAR(TbRegistroEntradas[[#This Row],[Data do Caixa Previsto]]))</f>
        <v>2018</v>
      </c>
      <c r="O109" t="str">
        <f ca="1">IF(AND(TbRegistroEntradas[[#This Row],[Data do Caixa Previsto]]&lt;TODAY(),TbRegistroEntradas[[#This Row],[Data do Caixa Realizado]]=""),"Vencida","Não Vencida")</f>
        <v>Não Vencida</v>
      </c>
      <c r="P109" t="str">
        <f>IF(TbRegistroEntradas[[#This Row],[Data da Competência]]=TbRegistroEntradas[[#This Row],[Data do Caixa Previsto]],"Vista","Prazo")</f>
        <v>Prazo</v>
      </c>
      <c r="Q10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10" spans="2:17" x14ac:dyDescent="0.25">
      <c r="B110" s="11">
        <v>43303</v>
      </c>
      <c r="C110" s="11">
        <v>43265</v>
      </c>
      <c r="D110" s="11">
        <v>43303</v>
      </c>
      <c r="E110" t="s">
        <v>24</v>
      </c>
      <c r="F110" t="s">
        <v>34</v>
      </c>
      <c r="G110" t="s">
        <v>165</v>
      </c>
      <c r="H110" s="114">
        <v>909</v>
      </c>
      <c r="I110">
        <f>IF(TbRegistroEntradas[[#This Row],[Data do Caixa Realizado]]="",0,MONTH(TbRegistroEntradas[[#This Row],[Data do Caixa Realizado]]))</f>
        <v>7</v>
      </c>
      <c r="J110">
        <f>IF(TbRegistroEntradas[[#This Row],[Data do Caixa Realizado]]="",0,YEAR(TbRegistroEntradas[[#This Row],[Data do Caixa Realizado]]))</f>
        <v>2018</v>
      </c>
      <c r="K110">
        <f>IF(TbRegistroEntradas[[#This Row],[Data da Competência]]="",0,MONTH(TbRegistroEntradas[[#This Row],[Data da Competência]]))</f>
        <v>6</v>
      </c>
      <c r="L110">
        <f>IF(TbRegistroEntradas[[#This Row],[Data da Competência]]="",0,YEAR(TbRegistroEntradas[[#This Row],[Data da Competência]]))</f>
        <v>2018</v>
      </c>
      <c r="M110">
        <f>IF(TbRegistroEntradas[[#This Row],[Data do Caixa Previsto]]="",0,MONTH(TbRegistroEntradas[[#This Row],[Data do Caixa Previsto]]))</f>
        <v>7</v>
      </c>
      <c r="N110">
        <f>IF(TbRegistroEntradas[[#This Row],[Data do Caixa Previsto]]="",0,YEAR(TbRegistroEntradas[[#This Row],[Data do Caixa Previsto]]))</f>
        <v>2018</v>
      </c>
      <c r="O110" t="str">
        <f ca="1">IF(AND(TbRegistroEntradas[[#This Row],[Data do Caixa Previsto]]&lt;TODAY(),TbRegistroEntradas[[#This Row],[Data do Caixa Realizado]]=""),"Vencida","Não Vencida")</f>
        <v>Não Vencida</v>
      </c>
      <c r="P110" t="str">
        <f>IF(TbRegistroEntradas[[#This Row],[Data da Competência]]=TbRegistroEntradas[[#This Row],[Data do Caixa Previsto]],"Vista","Prazo")</f>
        <v>Prazo</v>
      </c>
      <c r="Q11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11" spans="2:17" x14ac:dyDescent="0.25">
      <c r="B111" s="11">
        <v>43293</v>
      </c>
      <c r="C111" s="11">
        <v>43266</v>
      </c>
      <c r="D111" s="11">
        <v>43293</v>
      </c>
      <c r="E111" t="s">
        <v>24</v>
      </c>
      <c r="F111" t="s">
        <v>34</v>
      </c>
      <c r="G111" t="s">
        <v>166</v>
      </c>
      <c r="H111" s="114">
        <v>2197</v>
      </c>
      <c r="I111">
        <f>IF(TbRegistroEntradas[[#This Row],[Data do Caixa Realizado]]="",0,MONTH(TbRegistroEntradas[[#This Row],[Data do Caixa Realizado]]))</f>
        <v>7</v>
      </c>
      <c r="J111">
        <f>IF(TbRegistroEntradas[[#This Row],[Data do Caixa Realizado]]="",0,YEAR(TbRegistroEntradas[[#This Row],[Data do Caixa Realizado]]))</f>
        <v>2018</v>
      </c>
      <c r="K111">
        <f>IF(TbRegistroEntradas[[#This Row],[Data da Competência]]="",0,MONTH(TbRegistroEntradas[[#This Row],[Data da Competência]]))</f>
        <v>6</v>
      </c>
      <c r="L111">
        <f>IF(TbRegistroEntradas[[#This Row],[Data da Competência]]="",0,YEAR(TbRegistroEntradas[[#This Row],[Data da Competência]]))</f>
        <v>2018</v>
      </c>
      <c r="M111">
        <f>IF(TbRegistroEntradas[[#This Row],[Data do Caixa Previsto]]="",0,MONTH(TbRegistroEntradas[[#This Row],[Data do Caixa Previsto]]))</f>
        <v>7</v>
      </c>
      <c r="N111">
        <f>IF(TbRegistroEntradas[[#This Row],[Data do Caixa Previsto]]="",0,YEAR(TbRegistroEntradas[[#This Row],[Data do Caixa Previsto]]))</f>
        <v>2018</v>
      </c>
      <c r="O111" t="str">
        <f ca="1">IF(AND(TbRegistroEntradas[[#This Row],[Data do Caixa Previsto]]&lt;TODAY(),TbRegistroEntradas[[#This Row],[Data do Caixa Realizado]]=""),"Vencida","Não Vencida")</f>
        <v>Não Vencida</v>
      </c>
      <c r="P111" t="str">
        <f>IF(TbRegistroEntradas[[#This Row],[Data da Competência]]=TbRegistroEntradas[[#This Row],[Data do Caixa Previsto]],"Vista","Prazo")</f>
        <v>Prazo</v>
      </c>
      <c r="Q11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12" spans="2:17" x14ac:dyDescent="0.25">
      <c r="B112" s="11">
        <v>43268</v>
      </c>
      <c r="C112" s="11">
        <v>43268</v>
      </c>
      <c r="D112" s="11">
        <v>43268</v>
      </c>
      <c r="E112" t="s">
        <v>24</v>
      </c>
      <c r="F112" t="s">
        <v>35</v>
      </c>
      <c r="G112" t="s">
        <v>167</v>
      </c>
      <c r="H112" s="114">
        <v>3045</v>
      </c>
      <c r="I112">
        <f>IF(TbRegistroEntradas[[#This Row],[Data do Caixa Realizado]]="",0,MONTH(TbRegistroEntradas[[#This Row],[Data do Caixa Realizado]]))</f>
        <v>6</v>
      </c>
      <c r="J112">
        <f>IF(TbRegistroEntradas[[#This Row],[Data do Caixa Realizado]]="",0,YEAR(TbRegistroEntradas[[#This Row],[Data do Caixa Realizado]]))</f>
        <v>2018</v>
      </c>
      <c r="K112">
        <f>IF(TbRegistroEntradas[[#This Row],[Data da Competência]]="",0,MONTH(TbRegistroEntradas[[#This Row],[Data da Competência]]))</f>
        <v>6</v>
      </c>
      <c r="L112">
        <f>IF(TbRegistroEntradas[[#This Row],[Data da Competência]]="",0,YEAR(TbRegistroEntradas[[#This Row],[Data da Competência]]))</f>
        <v>2018</v>
      </c>
      <c r="M112">
        <f>IF(TbRegistroEntradas[[#This Row],[Data do Caixa Previsto]]="",0,MONTH(TbRegistroEntradas[[#This Row],[Data do Caixa Previsto]]))</f>
        <v>6</v>
      </c>
      <c r="N112">
        <f>IF(TbRegistroEntradas[[#This Row],[Data do Caixa Previsto]]="",0,YEAR(TbRegistroEntradas[[#This Row],[Data do Caixa Previsto]]))</f>
        <v>2018</v>
      </c>
      <c r="O112" t="str">
        <f ca="1">IF(AND(TbRegistroEntradas[[#This Row],[Data do Caixa Previsto]]&lt;TODAY(),TbRegistroEntradas[[#This Row],[Data do Caixa Realizado]]=""),"Vencida","Não Vencida")</f>
        <v>Não Vencida</v>
      </c>
      <c r="P112" t="str">
        <f>IF(TbRegistroEntradas[[#This Row],[Data da Competência]]=TbRegistroEntradas[[#This Row],[Data do Caixa Previsto]],"Vista","Prazo")</f>
        <v>Vista</v>
      </c>
      <c r="Q11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13" spans="2:17" x14ac:dyDescent="0.25">
      <c r="B113" s="11">
        <v>43326</v>
      </c>
      <c r="C113" s="11">
        <v>43272</v>
      </c>
      <c r="D113" s="11">
        <v>43309</v>
      </c>
      <c r="E113" t="s">
        <v>24</v>
      </c>
      <c r="F113" t="s">
        <v>35</v>
      </c>
      <c r="G113" t="s">
        <v>168</v>
      </c>
      <c r="H113" s="114">
        <v>460</v>
      </c>
      <c r="I113">
        <f>IF(TbRegistroEntradas[[#This Row],[Data do Caixa Realizado]]="",0,MONTH(TbRegistroEntradas[[#This Row],[Data do Caixa Realizado]]))</f>
        <v>8</v>
      </c>
      <c r="J113">
        <f>IF(TbRegistroEntradas[[#This Row],[Data do Caixa Realizado]]="",0,YEAR(TbRegistroEntradas[[#This Row],[Data do Caixa Realizado]]))</f>
        <v>2018</v>
      </c>
      <c r="K113">
        <f>IF(TbRegistroEntradas[[#This Row],[Data da Competência]]="",0,MONTH(TbRegistroEntradas[[#This Row],[Data da Competência]]))</f>
        <v>6</v>
      </c>
      <c r="L113">
        <f>IF(TbRegistroEntradas[[#This Row],[Data da Competência]]="",0,YEAR(TbRegistroEntradas[[#This Row],[Data da Competência]]))</f>
        <v>2018</v>
      </c>
      <c r="M113">
        <f>IF(TbRegistroEntradas[[#This Row],[Data do Caixa Previsto]]="",0,MONTH(TbRegistroEntradas[[#This Row],[Data do Caixa Previsto]]))</f>
        <v>7</v>
      </c>
      <c r="N113">
        <f>IF(TbRegistroEntradas[[#This Row],[Data do Caixa Previsto]]="",0,YEAR(TbRegistroEntradas[[#This Row],[Data do Caixa Previsto]]))</f>
        <v>2018</v>
      </c>
      <c r="O113" t="str">
        <f ca="1">IF(AND(TbRegistroEntradas[[#This Row],[Data do Caixa Previsto]]&lt;TODAY(),TbRegistroEntradas[[#This Row],[Data do Caixa Realizado]]=""),"Vencida","Não Vencida")</f>
        <v>Não Vencida</v>
      </c>
      <c r="P113" t="str">
        <f>IF(TbRegistroEntradas[[#This Row],[Data da Competência]]=TbRegistroEntradas[[#This Row],[Data do Caixa Previsto]],"Vista","Prazo")</f>
        <v>Prazo</v>
      </c>
      <c r="Q11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17</v>
      </c>
    </row>
    <row r="114" spans="2:17" x14ac:dyDescent="0.25">
      <c r="B114" s="11">
        <v>43313</v>
      </c>
      <c r="C114" s="11">
        <v>43275</v>
      </c>
      <c r="D114" s="11">
        <v>43313</v>
      </c>
      <c r="E114" t="s">
        <v>24</v>
      </c>
      <c r="F114" t="s">
        <v>35</v>
      </c>
      <c r="G114" t="s">
        <v>169</v>
      </c>
      <c r="H114" s="114">
        <v>770</v>
      </c>
      <c r="I114">
        <f>IF(TbRegistroEntradas[[#This Row],[Data do Caixa Realizado]]="",0,MONTH(TbRegistroEntradas[[#This Row],[Data do Caixa Realizado]]))</f>
        <v>8</v>
      </c>
      <c r="J114">
        <f>IF(TbRegistroEntradas[[#This Row],[Data do Caixa Realizado]]="",0,YEAR(TbRegistroEntradas[[#This Row],[Data do Caixa Realizado]]))</f>
        <v>2018</v>
      </c>
      <c r="K114">
        <f>IF(TbRegistroEntradas[[#This Row],[Data da Competência]]="",0,MONTH(TbRegistroEntradas[[#This Row],[Data da Competência]]))</f>
        <v>6</v>
      </c>
      <c r="L114">
        <f>IF(TbRegistroEntradas[[#This Row],[Data da Competência]]="",0,YEAR(TbRegistroEntradas[[#This Row],[Data da Competência]]))</f>
        <v>2018</v>
      </c>
      <c r="M114">
        <f>IF(TbRegistroEntradas[[#This Row],[Data do Caixa Previsto]]="",0,MONTH(TbRegistroEntradas[[#This Row],[Data do Caixa Previsto]]))</f>
        <v>8</v>
      </c>
      <c r="N114">
        <f>IF(TbRegistroEntradas[[#This Row],[Data do Caixa Previsto]]="",0,YEAR(TbRegistroEntradas[[#This Row],[Data do Caixa Previsto]]))</f>
        <v>2018</v>
      </c>
      <c r="O114" t="str">
        <f ca="1">IF(AND(TbRegistroEntradas[[#This Row],[Data do Caixa Previsto]]&lt;TODAY(),TbRegistroEntradas[[#This Row],[Data do Caixa Realizado]]=""),"Vencida","Não Vencida")</f>
        <v>Não Vencida</v>
      </c>
      <c r="P114" t="str">
        <f>IF(TbRegistroEntradas[[#This Row],[Data da Competência]]=TbRegistroEntradas[[#This Row],[Data do Caixa Previsto]],"Vista","Prazo")</f>
        <v>Prazo</v>
      </c>
      <c r="Q11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15" spans="2:17" x14ac:dyDescent="0.25">
      <c r="B115" s="11">
        <v>43317</v>
      </c>
      <c r="C115" s="11">
        <v>43276</v>
      </c>
      <c r="D115" s="11">
        <v>43317</v>
      </c>
      <c r="E115" t="s">
        <v>24</v>
      </c>
      <c r="F115" t="s">
        <v>34</v>
      </c>
      <c r="G115" t="s">
        <v>170</v>
      </c>
      <c r="H115" s="114">
        <v>3646</v>
      </c>
      <c r="I115">
        <f>IF(TbRegistroEntradas[[#This Row],[Data do Caixa Realizado]]="",0,MONTH(TbRegistroEntradas[[#This Row],[Data do Caixa Realizado]]))</f>
        <v>8</v>
      </c>
      <c r="J115">
        <f>IF(TbRegistroEntradas[[#This Row],[Data do Caixa Realizado]]="",0,YEAR(TbRegistroEntradas[[#This Row],[Data do Caixa Realizado]]))</f>
        <v>2018</v>
      </c>
      <c r="K115">
        <f>IF(TbRegistroEntradas[[#This Row],[Data da Competência]]="",0,MONTH(TbRegistroEntradas[[#This Row],[Data da Competência]]))</f>
        <v>6</v>
      </c>
      <c r="L115">
        <f>IF(TbRegistroEntradas[[#This Row],[Data da Competência]]="",0,YEAR(TbRegistroEntradas[[#This Row],[Data da Competência]]))</f>
        <v>2018</v>
      </c>
      <c r="M115">
        <f>IF(TbRegistroEntradas[[#This Row],[Data do Caixa Previsto]]="",0,MONTH(TbRegistroEntradas[[#This Row],[Data do Caixa Previsto]]))</f>
        <v>8</v>
      </c>
      <c r="N115">
        <f>IF(TbRegistroEntradas[[#This Row],[Data do Caixa Previsto]]="",0,YEAR(TbRegistroEntradas[[#This Row],[Data do Caixa Previsto]]))</f>
        <v>2018</v>
      </c>
      <c r="O115" t="str">
        <f ca="1">IF(AND(TbRegistroEntradas[[#This Row],[Data do Caixa Previsto]]&lt;TODAY(),TbRegistroEntradas[[#This Row],[Data do Caixa Realizado]]=""),"Vencida","Não Vencida")</f>
        <v>Não Vencida</v>
      </c>
      <c r="P115" t="str">
        <f>IF(TbRegistroEntradas[[#This Row],[Data da Competência]]=TbRegistroEntradas[[#This Row],[Data do Caixa Previsto]],"Vista","Prazo")</f>
        <v>Prazo</v>
      </c>
      <c r="Q11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16" spans="2:17" x14ac:dyDescent="0.25">
      <c r="B116" s="11">
        <v>43328</v>
      </c>
      <c r="C116" s="11">
        <v>43280</v>
      </c>
      <c r="D116" s="11">
        <v>43328</v>
      </c>
      <c r="E116" t="s">
        <v>24</v>
      </c>
      <c r="F116" t="s">
        <v>34</v>
      </c>
      <c r="G116" t="s">
        <v>171</v>
      </c>
      <c r="H116" s="114">
        <v>2376</v>
      </c>
      <c r="I116">
        <f>IF(TbRegistroEntradas[[#This Row],[Data do Caixa Realizado]]="",0,MONTH(TbRegistroEntradas[[#This Row],[Data do Caixa Realizado]]))</f>
        <v>8</v>
      </c>
      <c r="J116">
        <f>IF(TbRegistroEntradas[[#This Row],[Data do Caixa Realizado]]="",0,YEAR(TbRegistroEntradas[[#This Row],[Data do Caixa Realizado]]))</f>
        <v>2018</v>
      </c>
      <c r="K116">
        <f>IF(TbRegistroEntradas[[#This Row],[Data da Competência]]="",0,MONTH(TbRegistroEntradas[[#This Row],[Data da Competência]]))</f>
        <v>6</v>
      </c>
      <c r="L116">
        <f>IF(TbRegistroEntradas[[#This Row],[Data da Competência]]="",0,YEAR(TbRegistroEntradas[[#This Row],[Data da Competência]]))</f>
        <v>2018</v>
      </c>
      <c r="M116">
        <f>IF(TbRegistroEntradas[[#This Row],[Data do Caixa Previsto]]="",0,MONTH(TbRegistroEntradas[[#This Row],[Data do Caixa Previsto]]))</f>
        <v>8</v>
      </c>
      <c r="N116">
        <f>IF(TbRegistroEntradas[[#This Row],[Data do Caixa Previsto]]="",0,YEAR(TbRegistroEntradas[[#This Row],[Data do Caixa Previsto]]))</f>
        <v>2018</v>
      </c>
      <c r="O116" t="str">
        <f ca="1">IF(AND(TbRegistroEntradas[[#This Row],[Data do Caixa Previsto]]&lt;TODAY(),TbRegistroEntradas[[#This Row],[Data do Caixa Realizado]]=""),"Vencida","Não Vencida")</f>
        <v>Não Vencida</v>
      </c>
      <c r="P116" t="str">
        <f>IF(TbRegistroEntradas[[#This Row],[Data da Competência]]=TbRegistroEntradas[[#This Row],[Data do Caixa Previsto]],"Vista","Prazo")</f>
        <v>Prazo</v>
      </c>
      <c r="Q11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17" spans="2:17" x14ac:dyDescent="0.25">
      <c r="B117" s="11">
        <v>43398</v>
      </c>
      <c r="C117" s="11">
        <v>43284</v>
      </c>
      <c r="D117" s="11">
        <v>43310</v>
      </c>
      <c r="E117" t="s">
        <v>24</v>
      </c>
      <c r="F117" t="s">
        <v>34</v>
      </c>
      <c r="G117" t="s">
        <v>172</v>
      </c>
      <c r="H117" s="114">
        <v>3940</v>
      </c>
      <c r="I117">
        <f>IF(TbRegistroEntradas[[#This Row],[Data do Caixa Realizado]]="",0,MONTH(TbRegistroEntradas[[#This Row],[Data do Caixa Realizado]]))</f>
        <v>10</v>
      </c>
      <c r="J117">
        <f>IF(TbRegistroEntradas[[#This Row],[Data do Caixa Realizado]]="",0,YEAR(TbRegistroEntradas[[#This Row],[Data do Caixa Realizado]]))</f>
        <v>2018</v>
      </c>
      <c r="K117">
        <f>IF(TbRegistroEntradas[[#This Row],[Data da Competência]]="",0,MONTH(TbRegistroEntradas[[#This Row],[Data da Competência]]))</f>
        <v>7</v>
      </c>
      <c r="L117">
        <f>IF(TbRegistroEntradas[[#This Row],[Data da Competência]]="",0,YEAR(TbRegistroEntradas[[#This Row],[Data da Competência]]))</f>
        <v>2018</v>
      </c>
      <c r="M117">
        <f>IF(TbRegistroEntradas[[#This Row],[Data do Caixa Previsto]]="",0,MONTH(TbRegistroEntradas[[#This Row],[Data do Caixa Previsto]]))</f>
        <v>7</v>
      </c>
      <c r="N117">
        <f>IF(TbRegistroEntradas[[#This Row],[Data do Caixa Previsto]]="",0,YEAR(TbRegistroEntradas[[#This Row],[Data do Caixa Previsto]]))</f>
        <v>2018</v>
      </c>
      <c r="O117" t="str">
        <f ca="1">IF(AND(TbRegistroEntradas[[#This Row],[Data do Caixa Previsto]]&lt;TODAY(),TbRegistroEntradas[[#This Row],[Data do Caixa Realizado]]=""),"Vencida","Não Vencida")</f>
        <v>Não Vencida</v>
      </c>
      <c r="P117" t="str">
        <f>IF(TbRegistroEntradas[[#This Row],[Data da Competência]]=TbRegistroEntradas[[#This Row],[Data do Caixa Previsto]],"Vista","Prazo")</f>
        <v>Prazo</v>
      </c>
      <c r="Q11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88</v>
      </c>
    </row>
    <row r="118" spans="2:17" x14ac:dyDescent="0.25">
      <c r="B118" s="11">
        <v>43343</v>
      </c>
      <c r="C118" s="11">
        <v>43285</v>
      </c>
      <c r="D118" s="11">
        <v>43343</v>
      </c>
      <c r="E118" t="s">
        <v>24</v>
      </c>
      <c r="F118" t="s">
        <v>34</v>
      </c>
      <c r="G118" t="s">
        <v>173</v>
      </c>
      <c r="H118" s="114">
        <v>1732</v>
      </c>
      <c r="I118">
        <f>IF(TbRegistroEntradas[[#This Row],[Data do Caixa Realizado]]="",0,MONTH(TbRegistroEntradas[[#This Row],[Data do Caixa Realizado]]))</f>
        <v>8</v>
      </c>
      <c r="J118">
        <f>IF(TbRegistroEntradas[[#This Row],[Data do Caixa Realizado]]="",0,YEAR(TbRegistroEntradas[[#This Row],[Data do Caixa Realizado]]))</f>
        <v>2018</v>
      </c>
      <c r="K118">
        <f>IF(TbRegistroEntradas[[#This Row],[Data da Competência]]="",0,MONTH(TbRegistroEntradas[[#This Row],[Data da Competência]]))</f>
        <v>7</v>
      </c>
      <c r="L118">
        <f>IF(TbRegistroEntradas[[#This Row],[Data da Competência]]="",0,YEAR(TbRegistroEntradas[[#This Row],[Data da Competência]]))</f>
        <v>2018</v>
      </c>
      <c r="M118">
        <f>IF(TbRegistroEntradas[[#This Row],[Data do Caixa Previsto]]="",0,MONTH(TbRegistroEntradas[[#This Row],[Data do Caixa Previsto]]))</f>
        <v>8</v>
      </c>
      <c r="N118">
        <f>IF(TbRegistroEntradas[[#This Row],[Data do Caixa Previsto]]="",0,YEAR(TbRegistroEntradas[[#This Row],[Data do Caixa Previsto]]))</f>
        <v>2018</v>
      </c>
      <c r="O118" t="str">
        <f ca="1">IF(AND(TbRegistroEntradas[[#This Row],[Data do Caixa Previsto]]&lt;TODAY(),TbRegistroEntradas[[#This Row],[Data do Caixa Realizado]]=""),"Vencida","Não Vencida")</f>
        <v>Não Vencida</v>
      </c>
      <c r="P118" t="str">
        <f>IF(TbRegistroEntradas[[#This Row],[Data da Competência]]=TbRegistroEntradas[[#This Row],[Data do Caixa Previsto]],"Vista","Prazo")</f>
        <v>Prazo</v>
      </c>
      <c r="Q11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19" spans="2:17" x14ac:dyDescent="0.25">
      <c r="B119" s="11">
        <v>43316</v>
      </c>
      <c r="C119" s="11">
        <v>43286</v>
      </c>
      <c r="D119" s="11">
        <v>43316</v>
      </c>
      <c r="E119" t="s">
        <v>24</v>
      </c>
      <c r="F119" t="s">
        <v>33</v>
      </c>
      <c r="G119" t="s">
        <v>174</v>
      </c>
      <c r="H119" s="114">
        <v>1306</v>
      </c>
      <c r="I119">
        <f>IF(TbRegistroEntradas[[#This Row],[Data do Caixa Realizado]]="",0,MONTH(TbRegistroEntradas[[#This Row],[Data do Caixa Realizado]]))</f>
        <v>8</v>
      </c>
      <c r="J119">
        <f>IF(TbRegistroEntradas[[#This Row],[Data do Caixa Realizado]]="",0,YEAR(TbRegistroEntradas[[#This Row],[Data do Caixa Realizado]]))</f>
        <v>2018</v>
      </c>
      <c r="K119">
        <f>IF(TbRegistroEntradas[[#This Row],[Data da Competência]]="",0,MONTH(TbRegistroEntradas[[#This Row],[Data da Competência]]))</f>
        <v>7</v>
      </c>
      <c r="L119">
        <f>IF(TbRegistroEntradas[[#This Row],[Data da Competência]]="",0,YEAR(TbRegistroEntradas[[#This Row],[Data da Competência]]))</f>
        <v>2018</v>
      </c>
      <c r="M119">
        <f>IF(TbRegistroEntradas[[#This Row],[Data do Caixa Previsto]]="",0,MONTH(TbRegistroEntradas[[#This Row],[Data do Caixa Previsto]]))</f>
        <v>8</v>
      </c>
      <c r="N119">
        <f>IF(TbRegistroEntradas[[#This Row],[Data do Caixa Previsto]]="",0,YEAR(TbRegistroEntradas[[#This Row],[Data do Caixa Previsto]]))</f>
        <v>2018</v>
      </c>
      <c r="O119" t="str">
        <f ca="1">IF(AND(TbRegistroEntradas[[#This Row],[Data do Caixa Previsto]]&lt;TODAY(),TbRegistroEntradas[[#This Row],[Data do Caixa Realizado]]=""),"Vencida","Não Vencida")</f>
        <v>Não Vencida</v>
      </c>
      <c r="P119" t="str">
        <f>IF(TbRegistroEntradas[[#This Row],[Data da Competência]]=TbRegistroEntradas[[#This Row],[Data do Caixa Previsto]],"Vista","Prazo")</f>
        <v>Prazo</v>
      </c>
      <c r="Q11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20" spans="2:17" x14ac:dyDescent="0.25">
      <c r="B120" s="11">
        <v>43336</v>
      </c>
      <c r="C120" s="11">
        <v>43288</v>
      </c>
      <c r="D120" s="11">
        <v>43336</v>
      </c>
      <c r="E120" t="s">
        <v>24</v>
      </c>
      <c r="F120" t="s">
        <v>32</v>
      </c>
      <c r="G120" t="s">
        <v>175</v>
      </c>
      <c r="H120" s="114">
        <v>3954</v>
      </c>
      <c r="I120">
        <f>IF(TbRegistroEntradas[[#This Row],[Data do Caixa Realizado]]="",0,MONTH(TbRegistroEntradas[[#This Row],[Data do Caixa Realizado]]))</f>
        <v>8</v>
      </c>
      <c r="J120">
        <f>IF(TbRegistroEntradas[[#This Row],[Data do Caixa Realizado]]="",0,YEAR(TbRegistroEntradas[[#This Row],[Data do Caixa Realizado]]))</f>
        <v>2018</v>
      </c>
      <c r="K120">
        <f>IF(TbRegistroEntradas[[#This Row],[Data da Competência]]="",0,MONTH(TbRegistroEntradas[[#This Row],[Data da Competência]]))</f>
        <v>7</v>
      </c>
      <c r="L120">
        <f>IF(TbRegistroEntradas[[#This Row],[Data da Competência]]="",0,YEAR(TbRegistroEntradas[[#This Row],[Data da Competência]]))</f>
        <v>2018</v>
      </c>
      <c r="M120">
        <f>IF(TbRegistroEntradas[[#This Row],[Data do Caixa Previsto]]="",0,MONTH(TbRegistroEntradas[[#This Row],[Data do Caixa Previsto]]))</f>
        <v>8</v>
      </c>
      <c r="N120">
        <f>IF(TbRegistroEntradas[[#This Row],[Data do Caixa Previsto]]="",0,YEAR(TbRegistroEntradas[[#This Row],[Data do Caixa Previsto]]))</f>
        <v>2018</v>
      </c>
      <c r="O120" t="str">
        <f ca="1">IF(AND(TbRegistroEntradas[[#This Row],[Data do Caixa Previsto]]&lt;TODAY(),TbRegistroEntradas[[#This Row],[Data do Caixa Realizado]]=""),"Vencida","Não Vencida")</f>
        <v>Não Vencida</v>
      </c>
      <c r="P120" t="str">
        <f>IF(TbRegistroEntradas[[#This Row],[Data da Competência]]=TbRegistroEntradas[[#This Row],[Data do Caixa Previsto]],"Vista","Prazo")</f>
        <v>Prazo</v>
      </c>
      <c r="Q12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21" spans="2:17" x14ac:dyDescent="0.25">
      <c r="B121" s="11">
        <v>43323</v>
      </c>
      <c r="C121" s="11">
        <v>43292</v>
      </c>
      <c r="D121" s="11">
        <v>43323</v>
      </c>
      <c r="E121" t="s">
        <v>24</v>
      </c>
      <c r="F121" t="s">
        <v>35</v>
      </c>
      <c r="G121" t="s">
        <v>176</v>
      </c>
      <c r="H121" s="114">
        <v>4090</v>
      </c>
      <c r="I121">
        <f>IF(TbRegistroEntradas[[#This Row],[Data do Caixa Realizado]]="",0,MONTH(TbRegistroEntradas[[#This Row],[Data do Caixa Realizado]]))</f>
        <v>8</v>
      </c>
      <c r="J121">
        <f>IF(TbRegistroEntradas[[#This Row],[Data do Caixa Realizado]]="",0,YEAR(TbRegistroEntradas[[#This Row],[Data do Caixa Realizado]]))</f>
        <v>2018</v>
      </c>
      <c r="K121">
        <f>IF(TbRegistroEntradas[[#This Row],[Data da Competência]]="",0,MONTH(TbRegistroEntradas[[#This Row],[Data da Competência]]))</f>
        <v>7</v>
      </c>
      <c r="L121">
        <f>IF(TbRegistroEntradas[[#This Row],[Data da Competência]]="",0,YEAR(TbRegistroEntradas[[#This Row],[Data da Competência]]))</f>
        <v>2018</v>
      </c>
      <c r="M121">
        <f>IF(TbRegistroEntradas[[#This Row],[Data do Caixa Previsto]]="",0,MONTH(TbRegistroEntradas[[#This Row],[Data do Caixa Previsto]]))</f>
        <v>8</v>
      </c>
      <c r="N121">
        <f>IF(TbRegistroEntradas[[#This Row],[Data do Caixa Previsto]]="",0,YEAR(TbRegistroEntradas[[#This Row],[Data do Caixa Previsto]]))</f>
        <v>2018</v>
      </c>
      <c r="O121" t="str">
        <f ca="1">IF(AND(TbRegistroEntradas[[#This Row],[Data do Caixa Previsto]]&lt;TODAY(),TbRegistroEntradas[[#This Row],[Data do Caixa Realizado]]=""),"Vencida","Não Vencida")</f>
        <v>Não Vencida</v>
      </c>
      <c r="P121" t="str">
        <f>IF(TbRegistroEntradas[[#This Row],[Data da Competência]]=TbRegistroEntradas[[#This Row],[Data do Caixa Previsto]],"Vista","Prazo")</f>
        <v>Prazo</v>
      </c>
      <c r="Q12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22" spans="2:17" x14ac:dyDescent="0.25">
      <c r="B122" s="11">
        <v>43311</v>
      </c>
      <c r="C122" s="11">
        <v>43293</v>
      </c>
      <c r="D122" s="11">
        <v>43311</v>
      </c>
      <c r="E122" t="s">
        <v>24</v>
      </c>
      <c r="F122" t="s">
        <v>31</v>
      </c>
      <c r="G122" t="s">
        <v>177</v>
      </c>
      <c r="H122" s="114">
        <v>2713</v>
      </c>
      <c r="I122">
        <f>IF(TbRegistroEntradas[[#This Row],[Data do Caixa Realizado]]="",0,MONTH(TbRegistroEntradas[[#This Row],[Data do Caixa Realizado]]))</f>
        <v>7</v>
      </c>
      <c r="J122">
        <f>IF(TbRegistroEntradas[[#This Row],[Data do Caixa Realizado]]="",0,YEAR(TbRegistroEntradas[[#This Row],[Data do Caixa Realizado]]))</f>
        <v>2018</v>
      </c>
      <c r="K122">
        <f>IF(TbRegistroEntradas[[#This Row],[Data da Competência]]="",0,MONTH(TbRegistroEntradas[[#This Row],[Data da Competência]]))</f>
        <v>7</v>
      </c>
      <c r="L122">
        <f>IF(TbRegistroEntradas[[#This Row],[Data da Competência]]="",0,YEAR(TbRegistroEntradas[[#This Row],[Data da Competência]]))</f>
        <v>2018</v>
      </c>
      <c r="M122">
        <f>IF(TbRegistroEntradas[[#This Row],[Data do Caixa Previsto]]="",0,MONTH(TbRegistroEntradas[[#This Row],[Data do Caixa Previsto]]))</f>
        <v>7</v>
      </c>
      <c r="N122">
        <f>IF(TbRegistroEntradas[[#This Row],[Data do Caixa Previsto]]="",0,YEAR(TbRegistroEntradas[[#This Row],[Data do Caixa Previsto]]))</f>
        <v>2018</v>
      </c>
      <c r="O122" t="str">
        <f ca="1">IF(AND(TbRegistroEntradas[[#This Row],[Data do Caixa Previsto]]&lt;TODAY(),TbRegistroEntradas[[#This Row],[Data do Caixa Realizado]]=""),"Vencida","Não Vencida")</f>
        <v>Não Vencida</v>
      </c>
      <c r="P122" t="str">
        <f>IF(TbRegistroEntradas[[#This Row],[Data da Competência]]=TbRegistroEntradas[[#This Row],[Data do Caixa Previsto]],"Vista","Prazo")</f>
        <v>Prazo</v>
      </c>
      <c r="Q12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23" spans="2:17" x14ac:dyDescent="0.25">
      <c r="B123" s="11">
        <v>43302</v>
      </c>
      <c r="C123" s="11">
        <v>43297</v>
      </c>
      <c r="D123" s="11">
        <v>43302</v>
      </c>
      <c r="E123" t="s">
        <v>24</v>
      </c>
      <c r="F123" t="s">
        <v>34</v>
      </c>
      <c r="G123" t="s">
        <v>178</v>
      </c>
      <c r="H123" s="114">
        <v>3482</v>
      </c>
      <c r="I123">
        <f>IF(TbRegistroEntradas[[#This Row],[Data do Caixa Realizado]]="",0,MONTH(TbRegistroEntradas[[#This Row],[Data do Caixa Realizado]]))</f>
        <v>7</v>
      </c>
      <c r="J123">
        <f>IF(TbRegistroEntradas[[#This Row],[Data do Caixa Realizado]]="",0,YEAR(TbRegistroEntradas[[#This Row],[Data do Caixa Realizado]]))</f>
        <v>2018</v>
      </c>
      <c r="K123">
        <f>IF(TbRegistroEntradas[[#This Row],[Data da Competência]]="",0,MONTH(TbRegistroEntradas[[#This Row],[Data da Competência]]))</f>
        <v>7</v>
      </c>
      <c r="L123">
        <f>IF(TbRegistroEntradas[[#This Row],[Data da Competência]]="",0,YEAR(TbRegistroEntradas[[#This Row],[Data da Competência]]))</f>
        <v>2018</v>
      </c>
      <c r="M123">
        <f>IF(TbRegistroEntradas[[#This Row],[Data do Caixa Previsto]]="",0,MONTH(TbRegistroEntradas[[#This Row],[Data do Caixa Previsto]]))</f>
        <v>7</v>
      </c>
      <c r="N123">
        <f>IF(TbRegistroEntradas[[#This Row],[Data do Caixa Previsto]]="",0,YEAR(TbRegistroEntradas[[#This Row],[Data do Caixa Previsto]]))</f>
        <v>2018</v>
      </c>
      <c r="O123" t="str">
        <f ca="1">IF(AND(TbRegistroEntradas[[#This Row],[Data do Caixa Previsto]]&lt;TODAY(),TbRegistroEntradas[[#This Row],[Data do Caixa Realizado]]=""),"Vencida","Não Vencida")</f>
        <v>Não Vencida</v>
      </c>
      <c r="P123" t="str">
        <f>IF(TbRegistroEntradas[[#This Row],[Data da Competência]]=TbRegistroEntradas[[#This Row],[Data do Caixa Previsto]],"Vista","Prazo")</f>
        <v>Prazo</v>
      </c>
      <c r="Q12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24" spans="2:17" x14ac:dyDescent="0.25">
      <c r="B124" s="11" t="s">
        <v>68</v>
      </c>
      <c r="C124" s="11">
        <v>43299</v>
      </c>
      <c r="D124" s="11">
        <v>43346</v>
      </c>
      <c r="E124" t="s">
        <v>24</v>
      </c>
      <c r="F124" t="s">
        <v>34</v>
      </c>
      <c r="G124" t="s">
        <v>179</v>
      </c>
      <c r="H124" s="114">
        <v>2071</v>
      </c>
      <c r="I124">
        <f>IF(TbRegistroEntradas[[#This Row],[Data do Caixa Realizado]]="",0,MONTH(TbRegistroEntradas[[#This Row],[Data do Caixa Realizado]]))</f>
        <v>0</v>
      </c>
      <c r="J124">
        <f>IF(TbRegistroEntradas[[#This Row],[Data do Caixa Realizado]]="",0,YEAR(TbRegistroEntradas[[#This Row],[Data do Caixa Realizado]]))</f>
        <v>0</v>
      </c>
      <c r="K124">
        <f>IF(TbRegistroEntradas[[#This Row],[Data da Competência]]="",0,MONTH(TbRegistroEntradas[[#This Row],[Data da Competência]]))</f>
        <v>7</v>
      </c>
      <c r="L124">
        <f>IF(TbRegistroEntradas[[#This Row],[Data da Competência]]="",0,YEAR(TbRegistroEntradas[[#This Row],[Data da Competência]]))</f>
        <v>2018</v>
      </c>
      <c r="M124">
        <f>IF(TbRegistroEntradas[[#This Row],[Data do Caixa Previsto]]="",0,MONTH(TbRegistroEntradas[[#This Row],[Data do Caixa Previsto]]))</f>
        <v>9</v>
      </c>
      <c r="N124">
        <f>IF(TbRegistroEntradas[[#This Row],[Data do Caixa Previsto]]="",0,YEAR(TbRegistroEntradas[[#This Row],[Data do Caixa Previsto]]))</f>
        <v>2018</v>
      </c>
      <c r="O124" t="str">
        <f ca="1">IF(AND(TbRegistroEntradas[[#This Row],[Data do Caixa Previsto]]&lt;TODAY(),TbRegistroEntradas[[#This Row],[Data do Caixa Realizado]]=""),"Vencida","Não Vencida")</f>
        <v>Vencida</v>
      </c>
      <c r="P124" t="str">
        <f>IF(TbRegistroEntradas[[#This Row],[Data da Competência]]=TbRegistroEntradas[[#This Row],[Data do Caixa Previsto]],"Vista","Prazo")</f>
        <v>Prazo</v>
      </c>
      <c r="Q12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2007</v>
      </c>
    </row>
    <row r="125" spans="2:17" x14ac:dyDescent="0.25">
      <c r="B125" s="11" t="s">
        <v>68</v>
      </c>
      <c r="C125" s="11">
        <v>43304</v>
      </c>
      <c r="D125" s="11">
        <v>43304</v>
      </c>
      <c r="E125" t="s">
        <v>24</v>
      </c>
      <c r="F125" t="s">
        <v>35</v>
      </c>
      <c r="G125" t="s">
        <v>180</v>
      </c>
      <c r="H125" s="114">
        <v>4258</v>
      </c>
      <c r="I125">
        <f>IF(TbRegistroEntradas[[#This Row],[Data do Caixa Realizado]]="",0,MONTH(TbRegistroEntradas[[#This Row],[Data do Caixa Realizado]]))</f>
        <v>0</v>
      </c>
      <c r="J125">
        <f>IF(TbRegistroEntradas[[#This Row],[Data do Caixa Realizado]]="",0,YEAR(TbRegistroEntradas[[#This Row],[Data do Caixa Realizado]]))</f>
        <v>0</v>
      </c>
      <c r="K125">
        <f>IF(TbRegistroEntradas[[#This Row],[Data da Competência]]="",0,MONTH(TbRegistroEntradas[[#This Row],[Data da Competência]]))</f>
        <v>7</v>
      </c>
      <c r="L125">
        <f>IF(TbRegistroEntradas[[#This Row],[Data da Competência]]="",0,YEAR(TbRegistroEntradas[[#This Row],[Data da Competência]]))</f>
        <v>2018</v>
      </c>
      <c r="M125">
        <f>IF(TbRegistroEntradas[[#This Row],[Data do Caixa Previsto]]="",0,MONTH(TbRegistroEntradas[[#This Row],[Data do Caixa Previsto]]))</f>
        <v>7</v>
      </c>
      <c r="N125">
        <f>IF(TbRegistroEntradas[[#This Row],[Data do Caixa Previsto]]="",0,YEAR(TbRegistroEntradas[[#This Row],[Data do Caixa Previsto]]))</f>
        <v>2018</v>
      </c>
      <c r="O125" t="str">
        <f ca="1">IF(AND(TbRegistroEntradas[[#This Row],[Data do Caixa Previsto]]&lt;TODAY(),TbRegistroEntradas[[#This Row],[Data do Caixa Realizado]]=""),"Vencida","Não Vencida")</f>
        <v>Vencida</v>
      </c>
      <c r="P125" t="str">
        <f>IF(TbRegistroEntradas[[#This Row],[Data da Competência]]=TbRegistroEntradas[[#This Row],[Data do Caixa Previsto]],"Vista","Prazo")</f>
        <v>Vista</v>
      </c>
      <c r="Q12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2049</v>
      </c>
    </row>
    <row r="126" spans="2:17" x14ac:dyDescent="0.25">
      <c r="B126" s="11">
        <v>43350</v>
      </c>
      <c r="C126" s="11">
        <v>43306</v>
      </c>
      <c r="D126" s="11">
        <v>43350</v>
      </c>
      <c r="E126" t="s">
        <v>24</v>
      </c>
      <c r="F126" t="s">
        <v>32</v>
      </c>
      <c r="G126" t="s">
        <v>181</v>
      </c>
      <c r="H126" s="114">
        <v>4383</v>
      </c>
      <c r="I126">
        <f>IF(TbRegistroEntradas[[#This Row],[Data do Caixa Realizado]]="",0,MONTH(TbRegistroEntradas[[#This Row],[Data do Caixa Realizado]]))</f>
        <v>9</v>
      </c>
      <c r="J126">
        <f>IF(TbRegistroEntradas[[#This Row],[Data do Caixa Realizado]]="",0,YEAR(TbRegistroEntradas[[#This Row],[Data do Caixa Realizado]]))</f>
        <v>2018</v>
      </c>
      <c r="K126">
        <f>IF(TbRegistroEntradas[[#This Row],[Data da Competência]]="",0,MONTH(TbRegistroEntradas[[#This Row],[Data da Competência]]))</f>
        <v>7</v>
      </c>
      <c r="L126">
        <f>IF(TbRegistroEntradas[[#This Row],[Data da Competência]]="",0,YEAR(TbRegistroEntradas[[#This Row],[Data da Competência]]))</f>
        <v>2018</v>
      </c>
      <c r="M126">
        <f>IF(TbRegistroEntradas[[#This Row],[Data do Caixa Previsto]]="",0,MONTH(TbRegistroEntradas[[#This Row],[Data do Caixa Previsto]]))</f>
        <v>9</v>
      </c>
      <c r="N126">
        <f>IF(TbRegistroEntradas[[#This Row],[Data do Caixa Previsto]]="",0,YEAR(TbRegistroEntradas[[#This Row],[Data do Caixa Previsto]]))</f>
        <v>2018</v>
      </c>
      <c r="O126" t="str">
        <f ca="1">IF(AND(TbRegistroEntradas[[#This Row],[Data do Caixa Previsto]]&lt;TODAY(),TbRegistroEntradas[[#This Row],[Data do Caixa Realizado]]=""),"Vencida","Não Vencida")</f>
        <v>Não Vencida</v>
      </c>
      <c r="P126" t="str">
        <f>IF(TbRegistroEntradas[[#This Row],[Data da Competência]]=TbRegistroEntradas[[#This Row],[Data do Caixa Previsto]],"Vista","Prazo")</f>
        <v>Prazo</v>
      </c>
      <c r="Q12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27" spans="2:17" x14ac:dyDescent="0.25">
      <c r="B127" s="11" t="s">
        <v>68</v>
      </c>
      <c r="C127" s="11">
        <v>43310</v>
      </c>
      <c r="D127" s="11">
        <v>43310</v>
      </c>
      <c r="E127" t="s">
        <v>24</v>
      </c>
      <c r="F127" t="s">
        <v>34</v>
      </c>
      <c r="G127" t="s">
        <v>182</v>
      </c>
      <c r="H127" s="114">
        <v>1369</v>
      </c>
      <c r="I127">
        <f>IF(TbRegistroEntradas[[#This Row],[Data do Caixa Realizado]]="",0,MONTH(TbRegistroEntradas[[#This Row],[Data do Caixa Realizado]]))</f>
        <v>0</v>
      </c>
      <c r="J127">
        <f>IF(TbRegistroEntradas[[#This Row],[Data do Caixa Realizado]]="",0,YEAR(TbRegistroEntradas[[#This Row],[Data do Caixa Realizado]]))</f>
        <v>0</v>
      </c>
      <c r="K127">
        <f>IF(TbRegistroEntradas[[#This Row],[Data da Competência]]="",0,MONTH(TbRegistroEntradas[[#This Row],[Data da Competência]]))</f>
        <v>7</v>
      </c>
      <c r="L127">
        <f>IF(TbRegistroEntradas[[#This Row],[Data da Competência]]="",0,YEAR(TbRegistroEntradas[[#This Row],[Data da Competência]]))</f>
        <v>2018</v>
      </c>
      <c r="M127">
        <f>IF(TbRegistroEntradas[[#This Row],[Data do Caixa Previsto]]="",0,MONTH(TbRegistroEntradas[[#This Row],[Data do Caixa Previsto]]))</f>
        <v>7</v>
      </c>
      <c r="N127">
        <f>IF(TbRegistroEntradas[[#This Row],[Data do Caixa Previsto]]="",0,YEAR(TbRegistroEntradas[[#This Row],[Data do Caixa Previsto]]))</f>
        <v>2018</v>
      </c>
      <c r="O127" t="str">
        <f ca="1">IF(AND(TbRegistroEntradas[[#This Row],[Data do Caixa Previsto]]&lt;TODAY(),TbRegistroEntradas[[#This Row],[Data do Caixa Realizado]]=""),"Vencida","Não Vencida")</f>
        <v>Vencida</v>
      </c>
      <c r="P127" t="str">
        <f>IF(TbRegistroEntradas[[#This Row],[Data da Competência]]=TbRegistroEntradas[[#This Row],[Data do Caixa Previsto]],"Vista","Prazo")</f>
        <v>Vista</v>
      </c>
      <c r="Q12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2043</v>
      </c>
    </row>
    <row r="128" spans="2:17" x14ac:dyDescent="0.25">
      <c r="B128" s="11">
        <v>43409</v>
      </c>
      <c r="C128" s="11">
        <v>43315</v>
      </c>
      <c r="D128" s="11">
        <v>43357</v>
      </c>
      <c r="E128" t="s">
        <v>24</v>
      </c>
      <c r="F128" t="s">
        <v>34</v>
      </c>
      <c r="G128" t="s">
        <v>183</v>
      </c>
      <c r="H128" s="114">
        <v>331</v>
      </c>
      <c r="I128">
        <f>IF(TbRegistroEntradas[[#This Row],[Data do Caixa Realizado]]="",0,MONTH(TbRegistroEntradas[[#This Row],[Data do Caixa Realizado]]))</f>
        <v>11</v>
      </c>
      <c r="J128">
        <f>IF(TbRegistroEntradas[[#This Row],[Data do Caixa Realizado]]="",0,YEAR(TbRegistroEntradas[[#This Row],[Data do Caixa Realizado]]))</f>
        <v>2018</v>
      </c>
      <c r="K128">
        <f>IF(TbRegistroEntradas[[#This Row],[Data da Competência]]="",0,MONTH(TbRegistroEntradas[[#This Row],[Data da Competência]]))</f>
        <v>8</v>
      </c>
      <c r="L128">
        <f>IF(TbRegistroEntradas[[#This Row],[Data da Competência]]="",0,YEAR(TbRegistroEntradas[[#This Row],[Data da Competência]]))</f>
        <v>2018</v>
      </c>
      <c r="M128">
        <f>IF(TbRegistroEntradas[[#This Row],[Data do Caixa Previsto]]="",0,MONTH(TbRegistroEntradas[[#This Row],[Data do Caixa Previsto]]))</f>
        <v>9</v>
      </c>
      <c r="N128">
        <f>IF(TbRegistroEntradas[[#This Row],[Data do Caixa Previsto]]="",0,YEAR(TbRegistroEntradas[[#This Row],[Data do Caixa Previsto]]))</f>
        <v>2018</v>
      </c>
      <c r="O128" t="str">
        <f ca="1">IF(AND(TbRegistroEntradas[[#This Row],[Data do Caixa Previsto]]&lt;TODAY(),TbRegistroEntradas[[#This Row],[Data do Caixa Realizado]]=""),"Vencida","Não Vencida")</f>
        <v>Não Vencida</v>
      </c>
      <c r="P128" t="str">
        <f>IF(TbRegistroEntradas[[#This Row],[Data da Competência]]=TbRegistroEntradas[[#This Row],[Data do Caixa Previsto]],"Vista","Prazo")</f>
        <v>Prazo</v>
      </c>
      <c r="Q12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52</v>
      </c>
    </row>
    <row r="129" spans="2:17" x14ac:dyDescent="0.25">
      <c r="B129" s="11">
        <v>43368</v>
      </c>
      <c r="C129" s="11">
        <v>43318</v>
      </c>
      <c r="D129" s="11">
        <v>43318</v>
      </c>
      <c r="E129" t="s">
        <v>24</v>
      </c>
      <c r="F129" t="s">
        <v>34</v>
      </c>
      <c r="G129" t="s">
        <v>184</v>
      </c>
      <c r="H129" s="114">
        <v>3031</v>
      </c>
      <c r="I129">
        <f>IF(TbRegistroEntradas[[#This Row],[Data do Caixa Realizado]]="",0,MONTH(TbRegistroEntradas[[#This Row],[Data do Caixa Realizado]]))</f>
        <v>9</v>
      </c>
      <c r="J129">
        <f>IF(TbRegistroEntradas[[#This Row],[Data do Caixa Realizado]]="",0,YEAR(TbRegistroEntradas[[#This Row],[Data do Caixa Realizado]]))</f>
        <v>2018</v>
      </c>
      <c r="K129">
        <f>IF(TbRegistroEntradas[[#This Row],[Data da Competência]]="",0,MONTH(TbRegistroEntradas[[#This Row],[Data da Competência]]))</f>
        <v>8</v>
      </c>
      <c r="L129">
        <f>IF(TbRegistroEntradas[[#This Row],[Data da Competência]]="",0,YEAR(TbRegistroEntradas[[#This Row],[Data da Competência]]))</f>
        <v>2018</v>
      </c>
      <c r="M129">
        <f>IF(TbRegistroEntradas[[#This Row],[Data do Caixa Previsto]]="",0,MONTH(TbRegistroEntradas[[#This Row],[Data do Caixa Previsto]]))</f>
        <v>8</v>
      </c>
      <c r="N129">
        <f>IF(TbRegistroEntradas[[#This Row],[Data do Caixa Previsto]]="",0,YEAR(TbRegistroEntradas[[#This Row],[Data do Caixa Previsto]]))</f>
        <v>2018</v>
      </c>
      <c r="O129" t="str">
        <f ca="1">IF(AND(TbRegistroEntradas[[#This Row],[Data do Caixa Previsto]]&lt;TODAY(),TbRegistroEntradas[[#This Row],[Data do Caixa Realizado]]=""),"Vencida","Não Vencida")</f>
        <v>Não Vencida</v>
      </c>
      <c r="P129" t="str">
        <f>IF(TbRegistroEntradas[[#This Row],[Data da Competência]]=TbRegistroEntradas[[#This Row],[Data do Caixa Previsto]],"Vista","Prazo")</f>
        <v>Vista</v>
      </c>
      <c r="Q12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50</v>
      </c>
    </row>
    <row r="130" spans="2:17" x14ac:dyDescent="0.25">
      <c r="B130" s="11">
        <v>43341</v>
      </c>
      <c r="C130" s="11">
        <v>43321</v>
      </c>
      <c r="D130" s="11">
        <v>43341</v>
      </c>
      <c r="E130" t="s">
        <v>24</v>
      </c>
      <c r="F130" t="s">
        <v>32</v>
      </c>
      <c r="G130" t="s">
        <v>185</v>
      </c>
      <c r="H130" s="114">
        <v>1200</v>
      </c>
      <c r="I130">
        <f>IF(TbRegistroEntradas[[#This Row],[Data do Caixa Realizado]]="",0,MONTH(TbRegistroEntradas[[#This Row],[Data do Caixa Realizado]]))</f>
        <v>8</v>
      </c>
      <c r="J130">
        <f>IF(TbRegistroEntradas[[#This Row],[Data do Caixa Realizado]]="",0,YEAR(TbRegistroEntradas[[#This Row],[Data do Caixa Realizado]]))</f>
        <v>2018</v>
      </c>
      <c r="K130">
        <f>IF(TbRegistroEntradas[[#This Row],[Data da Competência]]="",0,MONTH(TbRegistroEntradas[[#This Row],[Data da Competência]]))</f>
        <v>8</v>
      </c>
      <c r="L130">
        <f>IF(TbRegistroEntradas[[#This Row],[Data da Competência]]="",0,YEAR(TbRegistroEntradas[[#This Row],[Data da Competência]]))</f>
        <v>2018</v>
      </c>
      <c r="M130">
        <f>IF(TbRegistroEntradas[[#This Row],[Data do Caixa Previsto]]="",0,MONTH(TbRegistroEntradas[[#This Row],[Data do Caixa Previsto]]))</f>
        <v>8</v>
      </c>
      <c r="N130">
        <f>IF(TbRegistroEntradas[[#This Row],[Data do Caixa Previsto]]="",0,YEAR(TbRegistroEntradas[[#This Row],[Data do Caixa Previsto]]))</f>
        <v>2018</v>
      </c>
      <c r="O130" t="str">
        <f ca="1">IF(AND(TbRegistroEntradas[[#This Row],[Data do Caixa Previsto]]&lt;TODAY(),TbRegistroEntradas[[#This Row],[Data do Caixa Realizado]]=""),"Vencida","Não Vencida")</f>
        <v>Não Vencida</v>
      </c>
      <c r="P130" t="str">
        <f>IF(TbRegistroEntradas[[#This Row],[Data da Competência]]=TbRegistroEntradas[[#This Row],[Data do Caixa Previsto]],"Vista","Prazo")</f>
        <v>Prazo</v>
      </c>
      <c r="Q13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31" spans="2:17" x14ac:dyDescent="0.25">
      <c r="B131" s="11">
        <v>43323</v>
      </c>
      <c r="C131" s="11">
        <v>43323</v>
      </c>
      <c r="D131" s="11">
        <v>43323</v>
      </c>
      <c r="E131" t="s">
        <v>24</v>
      </c>
      <c r="F131" t="s">
        <v>32</v>
      </c>
      <c r="G131" t="s">
        <v>186</v>
      </c>
      <c r="H131" s="114">
        <v>405</v>
      </c>
      <c r="I131">
        <f>IF(TbRegistroEntradas[[#This Row],[Data do Caixa Realizado]]="",0,MONTH(TbRegistroEntradas[[#This Row],[Data do Caixa Realizado]]))</f>
        <v>8</v>
      </c>
      <c r="J131">
        <f>IF(TbRegistroEntradas[[#This Row],[Data do Caixa Realizado]]="",0,YEAR(TbRegistroEntradas[[#This Row],[Data do Caixa Realizado]]))</f>
        <v>2018</v>
      </c>
      <c r="K131">
        <f>IF(TbRegistroEntradas[[#This Row],[Data da Competência]]="",0,MONTH(TbRegistroEntradas[[#This Row],[Data da Competência]]))</f>
        <v>8</v>
      </c>
      <c r="L131">
        <f>IF(TbRegistroEntradas[[#This Row],[Data da Competência]]="",0,YEAR(TbRegistroEntradas[[#This Row],[Data da Competência]]))</f>
        <v>2018</v>
      </c>
      <c r="M131">
        <f>IF(TbRegistroEntradas[[#This Row],[Data do Caixa Previsto]]="",0,MONTH(TbRegistroEntradas[[#This Row],[Data do Caixa Previsto]]))</f>
        <v>8</v>
      </c>
      <c r="N131">
        <f>IF(TbRegistroEntradas[[#This Row],[Data do Caixa Previsto]]="",0,YEAR(TbRegistroEntradas[[#This Row],[Data do Caixa Previsto]]))</f>
        <v>2018</v>
      </c>
      <c r="O131" t="str">
        <f ca="1">IF(AND(TbRegistroEntradas[[#This Row],[Data do Caixa Previsto]]&lt;TODAY(),TbRegistroEntradas[[#This Row],[Data do Caixa Realizado]]=""),"Vencida","Não Vencida")</f>
        <v>Não Vencida</v>
      </c>
      <c r="P131" t="str">
        <f>IF(TbRegistroEntradas[[#This Row],[Data da Competência]]=TbRegistroEntradas[[#This Row],[Data do Caixa Previsto]],"Vista","Prazo")</f>
        <v>Vista</v>
      </c>
      <c r="Q13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32" spans="2:17" x14ac:dyDescent="0.25">
      <c r="B132" s="11">
        <v>43360</v>
      </c>
      <c r="C132" s="11">
        <v>43326</v>
      </c>
      <c r="D132" s="11">
        <v>43360</v>
      </c>
      <c r="E132" t="s">
        <v>24</v>
      </c>
      <c r="F132" t="s">
        <v>31</v>
      </c>
      <c r="G132" t="s">
        <v>152</v>
      </c>
      <c r="H132" s="114">
        <v>3080</v>
      </c>
      <c r="I132">
        <f>IF(TbRegistroEntradas[[#This Row],[Data do Caixa Realizado]]="",0,MONTH(TbRegistroEntradas[[#This Row],[Data do Caixa Realizado]]))</f>
        <v>9</v>
      </c>
      <c r="J132">
        <f>IF(TbRegistroEntradas[[#This Row],[Data do Caixa Realizado]]="",0,YEAR(TbRegistroEntradas[[#This Row],[Data do Caixa Realizado]]))</f>
        <v>2018</v>
      </c>
      <c r="K132">
        <f>IF(TbRegistroEntradas[[#This Row],[Data da Competência]]="",0,MONTH(TbRegistroEntradas[[#This Row],[Data da Competência]]))</f>
        <v>8</v>
      </c>
      <c r="L132">
        <f>IF(TbRegistroEntradas[[#This Row],[Data da Competência]]="",0,YEAR(TbRegistroEntradas[[#This Row],[Data da Competência]]))</f>
        <v>2018</v>
      </c>
      <c r="M132">
        <f>IF(TbRegistroEntradas[[#This Row],[Data do Caixa Previsto]]="",0,MONTH(TbRegistroEntradas[[#This Row],[Data do Caixa Previsto]]))</f>
        <v>9</v>
      </c>
      <c r="N132">
        <f>IF(TbRegistroEntradas[[#This Row],[Data do Caixa Previsto]]="",0,YEAR(TbRegistroEntradas[[#This Row],[Data do Caixa Previsto]]))</f>
        <v>2018</v>
      </c>
      <c r="O132" t="str">
        <f ca="1">IF(AND(TbRegistroEntradas[[#This Row],[Data do Caixa Previsto]]&lt;TODAY(),TbRegistroEntradas[[#This Row],[Data do Caixa Realizado]]=""),"Vencida","Não Vencida")</f>
        <v>Não Vencida</v>
      </c>
      <c r="P132" t="str">
        <f>IF(TbRegistroEntradas[[#This Row],[Data da Competência]]=TbRegistroEntradas[[#This Row],[Data do Caixa Previsto]],"Vista","Prazo")</f>
        <v>Prazo</v>
      </c>
      <c r="Q13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33" spans="2:17" x14ac:dyDescent="0.25">
      <c r="B133" s="11">
        <v>43329</v>
      </c>
      <c r="C133" s="11">
        <v>43329</v>
      </c>
      <c r="D133" s="11">
        <v>43329</v>
      </c>
      <c r="E133" t="s">
        <v>24</v>
      </c>
      <c r="F133" t="s">
        <v>34</v>
      </c>
      <c r="G133" t="s">
        <v>187</v>
      </c>
      <c r="H133" s="114">
        <v>2137</v>
      </c>
      <c r="I133">
        <f>IF(TbRegistroEntradas[[#This Row],[Data do Caixa Realizado]]="",0,MONTH(TbRegistroEntradas[[#This Row],[Data do Caixa Realizado]]))</f>
        <v>8</v>
      </c>
      <c r="J133">
        <f>IF(TbRegistroEntradas[[#This Row],[Data do Caixa Realizado]]="",0,YEAR(TbRegistroEntradas[[#This Row],[Data do Caixa Realizado]]))</f>
        <v>2018</v>
      </c>
      <c r="K133">
        <f>IF(TbRegistroEntradas[[#This Row],[Data da Competência]]="",0,MONTH(TbRegistroEntradas[[#This Row],[Data da Competência]]))</f>
        <v>8</v>
      </c>
      <c r="L133">
        <f>IF(TbRegistroEntradas[[#This Row],[Data da Competência]]="",0,YEAR(TbRegistroEntradas[[#This Row],[Data da Competência]]))</f>
        <v>2018</v>
      </c>
      <c r="M133">
        <f>IF(TbRegistroEntradas[[#This Row],[Data do Caixa Previsto]]="",0,MONTH(TbRegistroEntradas[[#This Row],[Data do Caixa Previsto]]))</f>
        <v>8</v>
      </c>
      <c r="N133">
        <f>IF(TbRegistroEntradas[[#This Row],[Data do Caixa Previsto]]="",0,YEAR(TbRegistroEntradas[[#This Row],[Data do Caixa Previsto]]))</f>
        <v>2018</v>
      </c>
      <c r="O133" t="str">
        <f ca="1">IF(AND(TbRegistroEntradas[[#This Row],[Data do Caixa Previsto]]&lt;TODAY(),TbRegistroEntradas[[#This Row],[Data do Caixa Realizado]]=""),"Vencida","Não Vencida")</f>
        <v>Não Vencida</v>
      </c>
      <c r="P133" t="str">
        <f>IF(TbRegistroEntradas[[#This Row],[Data da Competência]]=TbRegistroEntradas[[#This Row],[Data do Caixa Previsto]],"Vista","Prazo")</f>
        <v>Vista</v>
      </c>
      <c r="Q13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34" spans="2:17" x14ac:dyDescent="0.25">
      <c r="B134" s="11">
        <v>43336</v>
      </c>
      <c r="C134" s="11">
        <v>43336</v>
      </c>
      <c r="D134" s="11">
        <v>43336</v>
      </c>
      <c r="E134" t="s">
        <v>24</v>
      </c>
      <c r="F134" t="s">
        <v>35</v>
      </c>
      <c r="G134" t="s">
        <v>188</v>
      </c>
      <c r="H134" s="114">
        <v>4287</v>
      </c>
      <c r="I134">
        <f>IF(TbRegistroEntradas[[#This Row],[Data do Caixa Realizado]]="",0,MONTH(TbRegistroEntradas[[#This Row],[Data do Caixa Realizado]]))</f>
        <v>8</v>
      </c>
      <c r="J134">
        <f>IF(TbRegistroEntradas[[#This Row],[Data do Caixa Realizado]]="",0,YEAR(TbRegistroEntradas[[#This Row],[Data do Caixa Realizado]]))</f>
        <v>2018</v>
      </c>
      <c r="K134">
        <f>IF(TbRegistroEntradas[[#This Row],[Data da Competência]]="",0,MONTH(TbRegistroEntradas[[#This Row],[Data da Competência]]))</f>
        <v>8</v>
      </c>
      <c r="L134">
        <f>IF(TbRegistroEntradas[[#This Row],[Data da Competência]]="",0,YEAR(TbRegistroEntradas[[#This Row],[Data da Competência]]))</f>
        <v>2018</v>
      </c>
      <c r="M134">
        <f>IF(TbRegistroEntradas[[#This Row],[Data do Caixa Previsto]]="",0,MONTH(TbRegistroEntradas[[#This Row],[Data do Caixa Previsto]]))</f>
        <v>8</v>
      </c>
      <c r="N134">
        <f>IF(TbRegistroEntradas[[#This Row],[Data do Caixa Previsto]]="",0,YEAR(TbRegistroEntradas[[#This Row],[Data do Caixa Previsto]]))</f>
        <v>2018</v>
      </c>
      <c r="O134" t="str">
        <f ca="1">IF(AND(TbRegistroEntradas[[#This Row],[Data do Caixa Previsto]]&lt;TODAY(),TbRegistroEntradas[[#This Row],[Data do Caixa Realizado]]=""),"Vencida","Não Vencida")</f>
        <v>Não Vencida</v>
      </c>
      <c r="P134" t="str">
        <f>IF(TbRegistroEntradas[[#This Row],[Data da Competência]]=TbRegistroEntradas[[#This Row],[Data do Caixa Previsto]],"Vista","Prazo")</f>
        <v>Vista</v>
      </c>
      <c r="Q13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35" spans="2:17" x14ac:dyDescent="0.25">
      <c r="B135" s="11">
        <v>43475</v>
      </c>
      <c r="C135" s="11">
        <v>43338</v>
      </c>
      <c r="D135" s="11">
        <v>43395</v>
      </c>
      <c r="E135" t="s">
        <v>24</v>
      </c>
      <c r="F135" t="s">
        <v>35</v>
      </c>
      <c r="G135" t="s">
        <v>189</v>
      </c>
      <c r="H135" s="114">
        <v>4857</v>
      </c>
      <c r="I135">
        <f>IF(TbRegistroEntradas[[#This Row],[Data do Caixa Realizado]]="",0,MONTH(TbRegistroEntradas[[#This Row],[Data do Caixa Realizado]]))</f>
        <v>1</v>
      </c>
      <c r="J135">
        <f>IF(TbRegistroEntradas[[#This Row],[Data do Caixa Realizado]]="",0,YEAR(TbRegistroEntradas[[#This Row],[Data do Caixa Realizado]]))</f>
        <v>2019</v>
      </c>
      <c r="K135">
        <f>IF(TbRegistroEntradas[[#This Row],[Data da Competência]]="",0,MONTH(TbRegistroEntradas[[#This Row],[Data da Competência]]))</f>
        <v>8</v>
      </c>
      <c r="L135">
        <f>IF(TbRegistroEntradas[[#This Row],[Data da Competência]]="",0,YEAR(TbRegistroEntradas[[#This Row],[Data da Competência]]))</f>
        <v>2018</v>
      </c>
      <c r="M135">
        <f>IF(TbRegistroEntradas[[#This Row],[Data do Caixa Previsto]]="",0,MONTH(TbRegistroEntradas[[#This Row],[Data do Caixa Previsto]]))</f>
        <v>10</v>
      </c>
      <c r="N135">
        <f>IF(TbRegistroEntradas[[#This Row],[Data do Caixa Previsto]]="",0,YEAR(TbRegistroEntradas[[#This Row],[Data do Caixa Previsto]]))</f>
        <v>2018</v>
      </c>
      <c r="O135" t="str">
        <f ca="1">IF(AND(TbRegistroEntradas[[#This Row],[Data do Caixa Previsto]]&lt;TODAY(),TbRegistroEntradas[[#This Row],[Data do Caixa Realizado]]=""),"Vencida","Não Vencida")</f>
        <v>Não Vencida</v>
      </c>
      <c r="P135" t="str">
        <f>IF(TbRegistroEntradas[[#This Row],[Data da Competência]]=TbRegistroEntradas[[#This Row],[Data do Caixa Previsto]],"Vista","Prazo")</f>
        <v>Prazo</v>
      </c>
      <c r="Q13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80</v>
      </c>
    </row>
    <row r="136" spans="2:17" x14ac:dyDescent="0.25">
      <c r="B136" s="11">
        <v>43393</v>
      </c>
      <c r="C136" s="11">
        <v>43342</v>
      </c>
      <c r="D136" s="11">
        <v>43393</v>
      </c>
      <c r="E136" t="s">
        <v>24</v>
      </c>
      <c r="F136" t="s">
        <v>34</v>
      </c>
      <c r="G136" t="s">
        <v>190</v>
      </c>
      <c r="H136" s="114">
        <v>507</v>
      </c>
      <c r="I136">
        <f>IF(TbRegistroEntradas[[#This Row],[Data do Caixa Realizado]]="",0,MONTH(TbRegistroEntradas[[#This Row],[Data do Caixa Realizado]]))</f>
        <v>10</v>
      </c>
      <c r="J136">
        <f>IF(TbRegistroEntradas[[#This Row],[Data do Caixa Realizado]]="",0,YEAR(TbRegistroEntradas[[#This Row],[Data do Caixa Realizado]]))</f>
        <v>2018</v>
      </c>
      <c r="K136">
        <f>IF(TbRegistroEntradas[[#This Row],[Data da Competência]]="",0,MONTH(TbRegistroEntradas[[#This Row],[Data da Competência]]))</f>
        <v>8</v>
      </c>
      <c r="L136">
        <f>IF(TbRegistroEntradas[[#This Row],[Data da Competência]]="",0,YEAR(TbRegistroEntradas[[#This Row],[Data da Competência]]))</f>
        <v>2018</v>
      </c>
      <c r="M136">
        <f>IF(TbRegistroEntradas[[#This Row],[Data do Caixa Previsto]]="",0,MONTH(TbRegistroEntradas[[#This Row],[Data do Caixa Previsto]]))</f>
        <v>10</v>
      </c>
      <c r="N136">
        <f>IF(TbRegistroEntradas[[#This Row],[Data do Caixa Previsto]]="",0,YEAR(TbRegistroEntradas[[#This Row],[Data do Caixa Previsto]]))</f>
        <v>2018</v>
      </c>
      <c r="O136" t="str">
        <f ca="1">IF(AND(TbRegistroEntradas[[#This Row],[Data do Caixa Previsto]]&lt;TODAY(),TbRegistroEntradas[[#This Row],[Data do Caixa Realizado]]=""),"Vencida","Não Vencida")</f>
        <v>Não Vencida</v>
      </c>
      <c r="P136" t="str">
        <f>IF(TbRegistroEntradas[[#This Row],[Data da Competência]]=TbRegistroEntradas[[#This Row],[Data do Caixa Previsto]],"Vista","Prazo")</f>
        <v>Prazo</v>
      </c>
      <c r="Q13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37" spans="2:17" x14ac:dyDescent="0.25">
      <c r="B137" s="11">
        <v>43405</v>
      </c>
      <c r="C137" s="11">
        <v>43343</v>
      </c>
      <c r="D137" s="11">
        <v>43354</v>
      </c>
      <c r="E137" t="s">
        <v>24</v>
      </c>
      <c r="F137" t="s">
        <v>32</v>
      </c>
      <c r="G137" t="s">
        <v>191</v>
      </c>
      <c r="H137" s="114">
        <v>2467</v>
      </c>
      <c r="I137">
        <f>IF(TbRegistroEntradas[[#This Row],[Data do Caixa Realizado]]="",0,MONTH(TbRegistroEntradas[[#This Row],[Data do Caixa Realizado]]))</f>
        <v>11</v>
      </c>
      <c r="J137">
        <f>IF(TbRegistroEntradas[[#This Row],[Data do Caixa Realizado]]="",0,YEAR(TbRegistroEntradas[[#This Row],[Data do Caixa Realizado]]))</f>
        <v>2018</v>
      </c>
      <c r="K137">
        <f>IF(TbRegistroEntradas[[#This Row],[Data da Competência]]="",0,MONTH(TbRegistroEntradas[[#This Row],[Data da Competência]]))</f>
        <v>8</v>
      </c>
      <c r="L137">
        <f>IF(TbRegistroEntradas[[#This Row],[Data da Competência]]="",0,YEAR(TbRegistroEntradas[[#This Row],[Data da Competência]]))</f>
        <v>2018</v>
      </c>
      <c r="M137">
        <f>IF(TbRegistroEntradas[[#This Row],[Data do Caixa Previsto]]="",0,MONTH(TbRegistroEntradas[[#This Row],[Data do Caixa Previsto]]))</f>
        <v>9</v>
      </c>
      <c r="N137">
        <f>IF(TbRegistroEntradas[[#This Row],[Data do Caixa Previsto]]="",0,YEAR(TbRegistroEntradas[[#This Row],[Data do Caixa Previsto]]))</f>
        <v>2018</v>
      </c>
      <c r="O137" t="str">
        <f ca="1">IF(AND(TbRegistroEntradas[[#This Row],[Data do Caixa Previsto]]&lt;TODAY(),TbRegistroEntradas[[#This Row],[Data do Caixa Realizado]]=""),"Vencida","Não Vencida")</f>
        <v>Não Vencida</v>
      </c>
      <c r="P137" t="str">
        <f>IF(TbRegistroEntradas[[#This Row],[Data da Competência]]=TbRegistroEntradas[[#This Row],[Data do Caixa Previsto]],"Vista","Prazo")</f>
        <v>Prazo</v>
      </c>
      <c r="Q13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51</v>
      </c>
    </row>
    <row r="138" spans="2:17" x14ac:dyDescent="0.25">
      <c r="B138" s="11">
        <v>43370</v>
      </c>
      <c r="C138" s="11">
        <v>43344</v>
      </c>
      <c r="D138" s="11">
        <v>43370</v>
      </c>
      <c r="E138" t="s">
        <v>24</v>
      </c>
      <c r="F138" t="s">
        <v>34</v>
      </c>
      <c r="G138" t="s">
        <v>192</v>
      </c>
      <c r="H138" s="114">
        <v>4253</v>
      </c>
      <c r="I138">
        <f>IF(TbRegistroEntradas[[#This Row],[Data do Caixa Realizado]]="",0,MONTH(TbRegistroEntradas[[#This Row],[Data do Caixa Realizado]]))</f>
        <v>9</v>
      </c>
      <c r="J138">
        <f>IF(TbRegistroEntradas[[#This Row],[Data do Caixa Realizado]]="",0,YEAR(TbRegistroEntradas[[#This Row],[Data do Caixa Realizado]]))</f>
        <v>2018</v>
      </c>
      <c r="K138">
        <f>IF(TbRegistroEntradas[[#This Row],[Data da Competência]]="",0,MONTH(TbRegistroEntradas[[#This Row],[Data da Competência]]))</f>
        <v>9</v>
      </c>
      <c r="L138">
        <f>IF(TbRegistroEntradas[[#This Row],[Data da Competência]]="",0,YEAR(TbRegistroEntradas[[#This Row],[Data da Competência]]))</f>
        <v>2018</v>
      </c>
      <c r="M138">
        <f>IF(TbRegistroEntradas[[#This Row],[Data do Caixa Previsto]]="",0,MONTH(TbRegistroEntradas[[#This Row],[Data do Caixa Previsto]]))</f>
        <v>9</v>
      </c>
      <c r="N138">
        <f>IF(TbRegistroEntradas[[#This Row],[Data do Caixa Previsto]]="",0,YEAR(TbRegistroEntradas[[#This Row],[Data do Caixa Previsto]]))</f>
        <v>2018</v>
      </c>
      <c r="O138" t="str">
        <f ca="1">IF(AND(TbRegistroEntradas[[#This Row],[Data do Caixa Previsto]]&lt;TODAY(),TbRegistroEntradas[[#This Row],[Data do Caixa Realizado]]=""),"Vencida","Não Vencida")</f>
        <v>Não Vencida</v>
      </c>
      <c r="P138" t="str">
        <f>IF(TbRegistroEntradas[[#This Row],[Data da Competência]]=TbRegistroEntradas[[#This Row],[Data do Caixa Previsto]],"Vista","Prazo")</f>
        <v>Prazo</v>
      </c>
      <c r="Q13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39" spans="2:17" x14ac:dyDescent="0.25">
      <c r="B139" s="11">
        <v>43350</v>
      </c>
      <c r="C139" s="11">
        <v>43350</v>
      </c>
      <c r="D139" s="11">
        <v>43350</v>
      </c>
      <c r="E139" t="s">
        <v>24</v>
      </c>
      <c r="F139" t="s">
        <v>35</v>
      </c>
      <c r="G139" t="s">
        <v>193</v>
      </c>
      <c r="H139" s="114">
        <v>2391</v>
      </c>
      <c r="I139">
        <f>IF(TbRegistroEntradas[[#This Row],[Data do Caixa Realizado]]="",0,MONTH(TbRegistroEntradas[[#This Row],[Data do Caixa Realizado]]))</f>
        <v>9</v>
      </c>
      <c r="J139">
        <f>IF(TbRegistroEntradas[[#This Row],[Data do Caixa Realizado]]="",0,YEAR(TbRegistroEntradas[[#This Row],[Data do Caixa Realizado]]))</f>
        <v>2018</v>
      </c>
      <c r="K139">
        <f>IF(TbRegistroEntradas[[#This Row],[Data da Competência]]="",0,MONTH(TbRegistroEntradas[[#This Row],[Data da Competência]]))</f>
        <v>9</v>
      </c>
      <c r="L139">
        <f>IF(TbRegistroEntradas[[#This Row],[Data da Competência]]="",0,YEAR(TbRegistroEntradas[[#This Row],[Data da Competência]]))</f>
        <v>2018</v>
      </c>
      <c r="M139">
        <f>IF(TbRegistroEntradas[[#This Row],[Data do Caixa Previsto]]="",0,MONTH(TbRegistroEntradas[[#This Row],[Data do Caixa Previsto]]))</f>
        <v>9</v>
      </c>
      <c r="N139">
        <f>IF(TbRegistroEntradas[[#This Row],[Data do Caixa Previsto]]="",0,YEAR(TbRegistroEntradas[[#This Row],[Data do Caixa Previsto]]))</f>
        <v>2018</v>
      </c>
      <c r="O139" t="str">
        <f ca="1">IF(AND(TbRegistroEntradas[[#This Row],[Data do Caixa Previsto]]&lt;TODAY(),TbRegistroEntradas[[#This Row],[Data do Caixa Realizado]]=""),"Vencida","Não Vencida")</f>
        <v>Não Vencida</v>
      </c>
      <c r="P139" t="str">
        <f>IF(TbRegistroEntradas[[#This Row],[Data da Competência]]=TbRegistroEntradas[[#This Row],[Data do Caixa Previsto]],"Vista","Prazo")</f>
        <v>Vista</v>
      </c>
      <c r="Q13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40" spans="2:17" x14ac:dyDescent="0.25">
      <c r="B140" s="11">
        <v>43365</v>
      </c>
      <c r="C140" s="11">
        <v>43352</v>
      </c>
      <c r="D140" s="11">
        <v>43365</v>
      </c>
      <c r="E140" t="s">
        <v>24</v>
      </c>
      <c r="F140" t="s">
        <v>34</v>
      </c>
      <c r="G140" t="s">
        <v>194</v>
      </c>
      <c r="H140" s="114">
        <v>3669</v>
      </c>
      <c r="I140">
        <f>IF(TbRegistroEntradas[[#This Row],[Data do Caixa Realizado]]="",0,MONTH(TbRegistroEntradas[[#This Row],[Data do Caixa Realizado]]))</f>
        <v>9</v>
      </c>
      <c r="J140">
        <f>IF(TbRegistroEntradas[[#This Row],[Data do Caixa Realizado]]="",0,YEAR(TbRegistroEntradas[[#This Row],[Data do Caixa Realizado]]))</f>
        <v>2018</v>
      </c>
      <c r="K140">
        <f>IF(TbRegistroEntradas[[#This Row],[Data da Competência]]="",0,MONTH(TbRegistroEntradas[[#This Row],[Data da Competência]]))</f>
        <v>9</v>
      </c>
      <c r="L140">
        <f>IF(TbRegistroEntradas[[#This Row],[Data da Competência]]="",0,YEAR(TbRegistroEntradas[[#This Row],[Data da Competência]]))</f>
        <v>2018</v>
      </c>
      <c r="M140">
        <f>IF(TbRegistroEntradas[[#This Row],[Data do Caixa Previsto]]="",0,MONTH(TbRegistroEntradas[[#This Row],[Data do Caixa Previsto]]))</f>
        <v>9</v>
      </c>
      <c r="N140">
        <f>IF(TbRegistroEntradas[[#This Row],[Data do Caixa Previsto]]="",0,YEAR(TbRegistroEntradas[[#This Row],[Data do Caixa Previsto]]))</f>
        <v>2018</v>
      </c>
      <c r="O140" t="str">
        <f ca="1">IF(AND(TbRegistroEntradas[[#This Row],[Data do Caixa Previsto]]&lt;TODAY(),TbRegistroEntradas[[#This Row],[Data do Caixa Realizado]]=""),"Vencida","Não Vencida")</f>
        <v>Não Vencida</v>
      </c>
      <c r="P140" t="str">
        <f>IF(TbRegistroEntradas[[#This Row],[Data da Competência]]=TbRegistroEntradas[[#This Row],[Data do Caixa Previsto]],"Vista","Prazo")</f>
        <v>Prazo</v>
      </c>
      <c r="Q14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41" spans="2:17" x14ac:dyDescent="0.25">
      <c r="B141" s="11">
        <v>43383</v>
      </c>
      <c r="C141" s="11">
        <v>43355</v>
      </c>
      <c r="D141" s="11">
        <v>43383</v>
      </c>
      <c r="E141" t="s">
        <v>24</v>
      </c>
      <c r="F141" t="s">
        <v>34</v>
      </c>
      <c r="G141" t="s">
        <v>195</v>
      </c>
      <c r="H141" s="114">
        <v>1207</v>
      </c>
      <c r="I141">
        <f>IF(TbRegistroEntradas[[#This Row],[Data do Caixa Realizado]]="",0,MONTH(TbRegistroEntradas[[#This Row],[Data do Caixa Realizado]]))</f>
        <v>10</v>
      </c>
      <c r="J141">
        <f>IF(TbRegistroEntradas[[#This Row],[Data do Caixa Realizado]]="",0,YEAR(TbRegistroEntradas[[#This Row],[Data do Caixa Realizado]]))</f>
        <v>2018</v>
      </c>
      <c r="K141">
        <f>IF(TbRegistroEntradas[[#This Row],[Data da Competência]]="",0,MONTH(TbRegistroEntradas[[#This Row],[Data da Competência]]))</f>
        <v>9</v>
      </c>
      <c r="L141">
        <f>IF(TbRegistroEntradas[[#This Row],[Data da Competência]]="",0,YEAR(TbRegistroEntradas[[#This Row],[Data da Competência]]))</f>
        <v>2018</v>
      </c>
      <c r="M141">
        <f>IF(TbRegistroEntradas[[#This Row],[Data do Caixa Previsto]]="",0,MONTH(TbRegistroEntradas[[#This Row],[Data do Caixa Previsto]]))</f>
        <v>10</v>
      </c>
      <c r="N141">
        <f>IF(TbRegistroEntradas[[#This Row],[Data do Caixa Previsto]]="",0,YEAR(TbRegistroEntradas[[#This Row],[Data do Caixa Previsto]]))</f>
        <v>2018</v>
      </c>
      <c r="O141" t="str">
        <f ca="1">IF(AND(TbRegistroEntradas[[#This Row],[Data do Caixa Previsto]]&lt;TODAY(),TbRegistroEntradas[[#This Row],[Data do Caixa Realizado]]=""),"Vencida","Não Vencida")</f>
        <v>Não Vencida</v>
      </c>
      <c r="P141" t="str">
        <f>IF(TbRegistroEntradas[[#This Row],[Data da Competência]]=TbRegistroEntradas[[#This Row],[Data do Caixa Previsto]],"Vista","Prazo")</f>
        <v>Prazo</v>
      </c>
      <c r="Q14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42" spans="2:17" x14ac:dyDescent="0.25">
      <c r="B142" s="11">
        <v>43412</v>
      </c>
      <c r="C142" s="11">
        <v>43361</v>
      </c>
      <c r="D142" s="11">
        <v>43412</v>
      </c>
      <c r="E142" t="s">
        <v>24</v>
      </c>
      <c r="F142" t="s">
        <v>32</v>
      </c>
      <c r="G142" t="s">
        <v>196</v>
      </c>
      <c r="H142" s="114">
        <v>2539</v>
      </c>
      <c r="I142">
        <f>IF(TbRegistroEntradas[[#This Row],[Data do Caixa Realizado]]="",0,MONTH(TbRegistroEntradas[[#This Row],[Data do Caixa Realizado]]))</f>
        <v>11</v>
      </c>
      <c r="J142">
        <f>IF(TbRegistroEntradas[[#This Row],[Data do Caixa Realizado]]="",0,YEAR(TbRegistroEntradas[[#This Row],[Data do Caixa Realizado]]))</f>
        <v>2018</v>
      </c>
      <c r="K142">
        <f>IF(TbRegistroEntradas[[#This Row],[Data da Competência]]="",0,MONTH(TbRegistroEntradas[[#This Row],[Data da Competência]]))</f>
        <v>9</v>
      </c>
      <c r="L142">
        <f>IF(TbRegistroEntradas[[#This Row],[Data da Competência]]="",0,YEAR(TbRegistroEntradas[[#This Row],[Data da Competência]]))</f>
        <v>2018</v>
      </c>
      <c r="M142">
        <f>IF(TbRegistroEntradas[[#This Row],[Data do Caixa Previsto]]="",0,MONTH(TbRegistroEntradas[[#This Row],[Data do Caixa Previsto]]))</f>
        <v>11</v>
      </c>
      <c r="N142">
        <f>IF(TbRegistroEntradas[[#This Row],[Data do Caixa Previsto]]="",0,YEAR(TbRegistroEntradas[[#This Row],[Data do Caixa Previsto]]))</f>
        <v>2018</v>
      </c>
      <c r="O142" t="str">
        <f ca="1">IF(AND(TbRegistroEntradas[[#This Row],[Data do Caixa Previsto]]&lt;TODAY(),TbRegistroEntradas[[#This Row],[Data do Caixa Realizado]]=""),"Vencida","Não Vencida")</f>
        <v>Não Vencida</v>
      </c>
      <c r="P142" t="str">
        <f>IF(TbRegistroEntradas[[#This Row],[Data da Competência]]=TbRegistroEntradas[[#This Row],[Data do Caixa Previsto]],"Vista","Prazo")</f>
        <v>Prazo</v>
      </c>
      <c r="Q14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43" spans="2:17" x14ac:dyDescent="0.25">
      <c r="B143" s="11">
        <v>43374</v>
      </c>
      <c r="C143" s="11">
        <v>43363</v>
      </c>
      <c r="D143" s="11">
        <v>43374</v>
      </c>
      <c r="E143" t="s">
        <v>24</v>
      </c>
      <c r="F143" t="s">
        <v>33</v>
      </c>
      <c r="G143" t="s">
        <v>197</v>
      </c>
      <c r="H143" s="114">
        <v>2895</v>
      </c>
      <c r="I143">
        <f>IF(TbRegistroEntradas[[#This Row],[Data do Caixa Realizado]]="",0,MONTH(TbRegistroEntradas[[#This Row],[Data do Caixa Realizado]]))</f>
        <v>10</v>
      </c>
      <c r="J143">
        <f>IF(TbRegistroEntradas[[#This Row],[Data do Caixa Realizado]]="",0,YEAR(TbRegistroEntradas[[#This Row],[Data do Caixa Realizado]]))</f>
        <v>2018</v>
      </c>
      <c r="K143">
        <f>IF(TbRegistroEntradas[[#This Row],[Data da Competência]]="",0,MONTH(TbRegistroEntradas[[#This Row],[Data da Competência]]))</f>
        <v>9</v>
      </c>
      <c r="L143">
        <f>IF(TbRegistroEntradas[[#This Row],[Data da Competência]]="",0,YEAR(TbRegistroEntradas[[#This Row],[Data da Competência]]))</f>
        <v>2018</v>
      </c>
      <c r="M143">
        <f>IF(TbRegistroEntradas[[#This Row],[Data do Caixa Previsto]]="",0,MONTH(TbRegistroEntradas[[#This Row],[Data do Caixa Previsto]]))</f>
        <v>10</v>
      </c>
      <c r="N143">
        <f>IF(TbRegistroEntradas[[#This Row],[Data do Caixa Previsto]]="",0,YEAR(TbRegistroEntradas[[#This Row],[Data do Caixa Previsto]]))</f>
        <v>2018</v>
      </c>
      <c r="O143" t="str">
        <f ca="1">IF(AND(TbRegistroEntradas[[#This Row],[Data do Caixa Previsto]]&lt;TODAY(),TbRegistroEntradas[[#This Row],[Data do Caixa Realizado]]=""),"Vencida","Não Vencida")</f>
        <v>Não Vencida</v>
      </c>
      <c r="P143" t="str">
        <f>IF(TbRegistroEntradas[[#This Row],[Data da Competência]]=TbRegistroEntradas[[#This Row],[Data do Caixa Previsto]],"Vista","Prazo")</f>
        <v>Prazo</v>
      </c>
      <c r="Q14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44" spans="2:17" x14ac:dyDescent="0.25">
      <c r="B144" s="11">
        <v>43422</v>
      </c>
      <c r="C144" s="11">
        <v>43364</v>
      </c>
      <c r="D144" s="11">
        <v>43364</v>
      </c>
      <c r="E144" t="s">
        <v>24</v>
      </c>
      <c r="F144" t="s">
        <v>34</v>
      </c>
      <c r="G144" t="s">
        <v>198</v>
      </c>
      <c r="H144" s="114">
        <v>2106</v>
      </c>
      <c r="I144">
        <f>IF(TbRegistroEntradas[[#This Row],[Data do Caixa Realizado]]="",0,MONTH(TbRegistroEntradas[[#This Row],[Data do Caixa Realizado]]))</f>
        <v>11</v>
      </c>
      <c r="J144">
        <f>IF(TbRegistroEntradas[[#This Row],[Data do Caixa Realizado]]="",0,YEAR(TbRegistroEntradas[[#This Row],[Data do Caixa Realizado]]))</f>
        <v>2018</v>
      </c>
      <c r="K144">
        <f>IF(TbRegistroEntradas[[#This Row],[Data da Competência]]="",0,MONTH(TbRegistroEntradas[[#This Row],[Data da Competência]]))</f>
        <v>9</v>
      </c>
      <c r="L144">
        <f>IF(TbRegistroEntradas[[#This Row],[Data da Competência]]="",0,YEAR(TbRegistroEntradas[[#This Row],[Data da Competência]]))</f>
        <v>2018</v>
      </c>
      <c r="M144">
        <f>IF(TbRegistroEntradas[[#This Row],[Data do Caixa Previsto]]="",0,MONTH(TbRegistroEntradas[[#This Row],[Data do Caixa Previsto]]))</f>
        <v>9</v>
      </c>
      <c r="N144">
        <f>IF(TbRegistroEntradas[[#This Row],[Data do Caixa Previsto]]="",0,YEAR(TbRegistroEntradas[[#This Row],[Data do Caixa Previsto]]))</f>
        <v>2018</v>
      </c>
      <c r="O144" t="str">
        <f ca="1">IF(AND(TbRegistroEntradas[[#This Row],[Data do Caixa Previsto]]&lt;TODAY(),TbRegistroEntradas[[#This Row],[Data do Caixa Realizado]]=""),"Vencida","Não Vencida")</f>
        <v>Não Vencida</v>
      </c>
      <c r="P144" t="str">
        <f>IF(TbRegistroEntradas[[#This Row],[Data da Competência]]=TbRegistroEntradas[[#This Row],[Data do Caixa Previsto]],"Vista","Prazo")</f>
        <v>Vista</v>
      </c>
      <c r="Q14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58</v>
      </c>
    </row>
    <row r="145" spans="2:17" x14ac:dyDescent="0.25">
      <c r="B145" s="11">
        <v>43405</v>
      </c>
      <c r="C145" s="11">
        <v>43366</v>
      </c>
      <c r="D145" s="11">
        <v>43405</v>
      </c>
      <c r="E145" t="s">
        <v>24</v>
      </c>
      <c r="F145" t="s">
        <v>33</v>
      </c>
      <c r="G145" t="s">
        <v>199</v>
      </c>
      <c r="H145" s="114">
        <v>3742</v>
      </c>
      <c r="I145">
        <f>IF(TbRegistroEntradas[[#This Row],[Data do Caixa Realizado]]="",0,MONTH(TbRegistroEntradas[[#This Row],[Data do Caixa Realizado]]))</f>
        <v>11</v>
      </c>
      <c r="J145">
        <f>IF(TbRegistroEntradas[[#This Row],[Data do Caixa Realizado]]="",0,YEAR(TbRegistroEntradas[[#This Row],[Data do Caixa Realizado]]))</f>
        <v>2018</v>
      </c>
      <c r="K145">
        <f>IF(TbRegistroEntradas[[#This Row],[Data da Competência]]="",0,MONTH(TbRegistroEntradas[[#This Row],[Data da Competência]]))</f>
        <v>9</v>
      </c>
      <c r="L145">
        <f>IF(TbRegistroEntradas[[#This Row],[Data da Competência]]="",0,YEAR(TbRegistroEntradas[[#This Row],[Data da Competência]]))</f>
        <v>2018</v>
      </c>
      <c r="M145">
        <f>IF(TbRegistroEntradas[[#This Row],[Data do Caixa Previsto]]="",0,MONTH(TbRegistroEntradas[[#This Row],[Data do Caixa Previsto]]))</f>
        <v>11</v>
      </c>
      <c r="N145">
        <f>IF(TbRegistroEntradas[[#This Row],[Data do Caixa Previsto]]="",0,YEAR(TbRegistroEntradas[[#This Row],[Data do Caixa Previsto]]))</f>
        <v>2018</v>
      </c>
      <c r="O145" t="str">
        <f ca="1">IF(AND(TbRegistroEntradas[[#This Row],[Data do Caixa Previsto]]&lt;TODAY(),TbRegistroEntradas[[#This Row],[Data do Caixa Realizado]]=""),"Vencida","Não Vencida")</f>
        <v>Não Vencida</v>
      </c>
      <c r="P145" t="str">
        <f>IF(TbRegistroEntradas[[#This Row],[Data da Competência]]=TbRegistroEntradas[[#This Row],[Data do Caixa Previsto]],"Vista","Prazo")</f>
        <v>Prazo</v>
      </c>
      <c r="Q14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46" spans="2:17" x14ac:dyDescent="0.25">
      <c r="B146" s="11">
        <v>43369</v>
      </c>
      <c r="C146" s="11">
        <v>43369</v>
      </c>
      <c r="D146" s="11">
        <v>43369</v>
      </c>
      <c r="E146" t="s">
        <v>24</v>
      </c>
      <c r="F146" t="s">
        <v>32</v>
      </c>
      <c r="G146" t="s">
        <v>200</v>
      </c>
      <c r="H146" s="114">
        <v>3222</v>
      </c>
      <c r="I146">
        <f>IF(TbRegistroEntradas[[#This Row],[Data do Caixa Realizado]]="",0,MONTH(TbRegistroEntradas[[#This Row],[Data do Caixa Realizado]]))</f>
        <v>9</v>
      </c>
      <c r="J146">
        <f>IF(TbRegistroEntradas[[#This Row],[Data do Caixa Realizado]]="",0,YEAR(TbRegistroEntradas[[#This Row],[Data do Caixa Realizado]]))</f>
        <v>2018</v>
      </c>
      <c r="K146">
        <f>IF(TbRegistroEntradas[[#This Row],[Data da Competência]]="",0,MONTH(TbRegistroEntradas[[#This Row],[Data da Competência]]))</f>
        <v>9</v>
      </c>
      <c r="L146">
        <f>IF(TbRegistroEntradas[[#This Row],[Data da Competência]]="",0,YEAR(TbRegistroEntradas[[#This Row],[Data da Competência]]))</f>
        <v>2018</v>
      </c>
      <c r="M146">
        <f>IF(TbRegistroEntradas[[#This Row],[Data do Caixa Previsto]]="",0,MONTH(TbRegistroEntradas[[#This Row],[Data do Caixa Previsto]]))</f>
        <v>9</v>
      </c>
      <c r="N146">
        <f>IF(TbRegistroEntradas[[#This Row],[Data do Caixa Previsto]]="",0,YEAR(TbRegistroEntradas[[#This Row],[Data do Caixa Previsto]]))</f>
        <v>2018</v>
      </c>
      <c r="O146" t="str">
        <f ca="1">IF(AND(TbRegistroEntradas[[#This Row],[Data do Caixa Previsto]]&lt;TODAY(),TbRegistroEntradas[[#This Row],[Data do Caixa Realizado]]=""),"Vencida","Não Vencida")</f>
        <v>Não Vencida</v>
      </c>
      <c r="P146" t="str">
        <f>IF(TbRegistroEntradas[[#This Row],[Data da Competência]]=TbRegistroEntradas[[#This Row],[Data do Caixa Previsto]],"Vista","Prazo")</f>
        <v>Vista</v>
      </c>
      <c r="Q14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47" spans="2:17" x14ac:dyDescent="0.25">
      <c r="B147" s="11">
        <v>43392</v>
      </c>
      <c r="C147" s="11">
        <v>43374</v>
      </c>
      <c r="D147" s="11">
        <v>43392</v>
      </c>
      <c r="E147" t="s">
        <v>24</v>
      </c>
      <c r="F147" t="s">
        <v>34</v>
      </c>
      <c r="G147" t="s">
        <v>201</v>
      </c>
      <c r="H147" s="114">
        <v>673</v>
      </c>
      <c r="I147">
        <f>IF(TbRegistroEntradas[[#This Row],[Data do Caixa Realizado]]="",0,MONTH(TbRegistroEntradas[[#This Row],[Data do Caixa Realizado]]))</f>
        <v>10</v>
      </c>
      <c r="J147">
        <f>IF(TbRegistroEntradas[[#This Row],[Data do Caixa Realizado]]="",0,YEAR(TbRegistroEntradas[[#This Row],[Data do Caixa Realizado]]))</f>
        <v>2018</v>
      </c>
      <c r="K147">
        <f>IF(TbRegistroEntradas[[#This Row],[Data da Competência]]="",0,MONTH(TbRegistroEntradas[[#This Row],[Data da Competência]]))</f>
        <v>10</v>
      </c>
      <c r="L147">
        <f>IF(TbRegistroEntradas[[#This Row],[Data da Competência]]="",0,YEAR(TbRegistroEntradas[[#This Row],[Data da Competência]]))</f>
        <v>2018</v>
      </c>
      <c r="M147">
        <f>IF(TbRegistroEntradas[[#This Row],[Data do Caixa Previsto]]="",0,MONTH(TbRegistroEntradas[[#This Row],[Data do Caixa Previsto]]))</f>
        <v>10</v>
      </c>
      <c r="N147">
        <f>IF(TbRegistroEntradas[[#This Row],[Data do Caixa Previsto]]="",0,YEAR(TbRegistroEntradas[[#This Row],[Data do Caixa Previsto]]))</f>
        <v>2018</v>
      </c>
      <c r="O147" t="str">
        <f ca="1">IF(AND(TbRegistroEntradas[[#This Row],[Data do Caixa Previsto]]&lt;TODAY(),TbRegistroEntradas[[#This Row],[Data do Caixa Realizado]]=""),"Vencida","Não Vencida")</f>
        <v>Não Vencida</v>
      </c>
      <c r="P147" t="str">
        <f>IF(TbRegistroEntradas[[#This Row],[Data da Competência]]=TbRegistroEntradas[[#This Row],[Data do Caixa Previsto]],"Vista","Prazo")</f>
        <v>Prazo</v>
      </c>
      <c r="Q14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48" spans="2:17" x14ac:dyDescent="0.25">
      <c r="B148" s="11">
        <v>43399</v>
      </c>
      <c r="C148" s="11">
        <v>43378</v>
      </c>
      <c r="D148" s="11">
        <v>43399</v>
      </c>
      <c r="E148" t="s">
        <v>24</v>
      </c>
      <c r="F148" t="s">
        <v>31</v>
      </c>
      <c r="G148" t="s">
        <v>202</v>
      </c>
      <c r="H148" s="114">
        <v>4922</v>
      </c>
      <c r="I148">
        <f>IF(TbRegistroEntradas[[#This Row],[Data do Caixa Realizado]]="",0,MONTH(TbRegistroEntradas[[#This Row],[Data do Caixa Realizado]]))</f>
        <v>10</v>
      </c>
      <c r="J148">
        <f>IF(TbRegistroEntradas[[#This Row],[Data do Caixa Realizado]]="",0,YEAR(TbRegistroEntradas[[#This Row],[Data do Caixa Realizado]]))</f>
        <v>2018</v>
      </c>
      <c r="K148">
        <f>IF(TbRegistroEntradas[[#This Row],[Data da Competência]]="",0,MONTH(TbRegistroEntradas[[#This Row],[Data da Competência]]))</f>
        <v>10</v>
      </c>
      <c r="L148">
        <f>IF(TbRegistroEntradas[[#This Row],[Data da Competência]]="",0,YEAR(TbRegistroEntradas[[#This Row],[Data da Competência]]))</f>
        <v>2018</v>
      </c>
      <c r="M148">
        <f>IF(TbRegistroEntradas[[#This Row],[Data do Caixa Previsto]]="",0,MONTH(TbRegistroEntradas[[#This Row],[Data do Caixa Previsto]]))</f>
        <v>10</v>
      </c>
      <c r="N148">
        <f>IF(TbRegistroEntradas[[#This Row],[Data do Caixa Previsto]]="",0,YEAR(TbRegistroEntradas[[#This Row],[Data do Caixa Previsto]]))</f>
        <v>2018</v>
      </c>
      <c r="O148" t="str">
        <f ca="1">IF(AND(TbRegistroEntradas[[#This Row],[Data do Caixa Previsto]]&lt;TODAY(),TbRegistroEntradas[[#This Row],[Data do Caixa Realizado]]=""),"Vencida","Não Vencida")</f>
        <v>Não Vencida</v>
      </c>
      <c r="P148" t="str">
        <f>IF(TbRegistroEntradas[[#This Row],[Data da Competência]]=TbRegistroEntradas[[#This Row],[Data do Caixa Previsto]],"Vista","Prazo")</f>
        <v>Prazo</v>
      </c>
      <c r="Q14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49" spans="2:17" x14ac:dyDescent="0.25">
      <c r="B149" s="11">
        <v>43432</v>
      </c>
      <c r="C149" s="11">
        <v>43382</v>
      </c>
      <c r="D149" s="11">
        <v>43432</v>
      </c>
      <c r="E149" t="s">
        <v>24</v>
      </c>
      <c r="F149" t="s">
        <v>35</v>
      </c>
      <c r="G149" t="s">
        <v>203</v>
      </c>
      <c r="H149" s="114">
        <v>1688</v>
      </c>
      <c r="I149">
        <f>IF(TbRegistroEntradas[[#This Row],[Data do Caixa Realizado]]="",0,MONTH(TbRegistroEntradas[[#This Row],[Data do Caixa Realizado]]))</f>
        <v>11</v>
      </c>
      <c r="J149">
        <f>IF(TbRegistroEntradas[[#This Row],[Data do Caixa Realizado]]="",0,YEAR(TbRegistroEntradas[[#This Row],[Data do Caixa Realizado]]))</f>
        <v>2018</v>
      </c>
      <c r="K149">
        <f>IF(TbRegistroEntradas[[#This Row],[Data da Competência]]="",0,MONTH(TbRegistroEntradas[[#This Row],[Data da Competência]]))</f>
        <v>10</v>
      </c>
      <c r="L149">
        <f>IF(TbRegistroEntradas[[#This Row],[Data da Competência]]="",0,YEAR(TbRegistroEntradas[[#This Row],[Data da Competência]]))</f>
        <v>2018</v>
      </c>
      <c r="M149">
        <f>IF(TbRegistroEntradas[[#This Row],[Data do Caixa Previsto]]="",0,MONTH(TbRegistroEntradas[[#This Row],[Data do Caixa Previsto]]))</f>
        <v>11</v>
      </c>
      <c r="N149">
        <f>IF(TbRegistroEntradas[[#This Row],[Data do Caixa Previsto]]="",0,YEAR(TbRegistroEntradas[[#This Row],[Data do Caixa Previsto]]))</f>
        <v>2018</v>
      </c>
      <c r="O149" t="str">
        <f ca="1">IF(AND(TbRegistroEntradas[[#This Row],[Data do Caixa Previsto]]&lt;TODAY(),TbRegistroEntradas[[#This Row],[Data do Caixa Realizado]]=""),"Vencida","Não Vencida")</f>
        <v>Não Vencida</v>
      </c>
      <c r="P149" t="str">
        <f>IF(TbRegistroEntradas[[#This Row],[Data da Competência]]=TbRegistroEntradas[[#This Row],[Data do Caixa Previsto]],"Vista","Prazo")</f>
        <v>Prazo</v>
      </c>
      <c r="Q14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50" spans="2:17" x14ac:dyDescent="0.25">
      <c r="B150" s="11">
        <v>43382</v>
      </c>
      <c r="C150" s="11">
        <v>43382</v>
      </c>
      <c r="D150" s="11">
        <v>43382</v>
      </c>
      <c r="E150" t="s">
        <v>24</v>
      </c>
      <c r="F150" t="s">
        <v>35</v>
      </c>
      <c r="G150" t="s">
        <v>204</v>
      </c>
      <c r="H150" s="114">
        <v>979</v>
      </c>
      <c r="I150">
        <f>IF(TbRegistroEntradas[[#This Row],[Data do Caixa Realizado]]="",0,MONTH(TbRegistroEntradas[[#This Row],[Data do Caixa Realizado]]))</f>
        <v>10</v>
      </c>
      <c r="J150">
        <f>IF(TbRegistroEntradas[[#This Row],[Data do Caixa Realizado]]="",0,YEAR(TbRegistroEntradas[[#This Row],[Data do Caixa Realizado]]))</f>
        <v>2018</v>
      </c>
      <c r="K150">
        <f>IF(TbRegistroEntradas[[#This Row],[Data da Competência]]="",0,MONTH(TbRegistroEntradas[[#This Row],[Data da Competência]]))</f>
        <v>10</v>
      </c>
      <c r="L150">
        <f>IF(TbRegistroEntradas[[#This Row],[Data da Competência]]="",0,YEAR(TbRegistroEntradas[[#This Row],[Data da Competência]]))</f>
        <v>2018</v>
      </c>
      <c r="M150">
        <f>IF(TbRegistroEntradas[[#This Row],[Data do Caixa Previsto]]="",0,MONTH(TbRegistroEntradas[[#This Row],[Data do Caixa Previsto]]))</f>
        <v>10</v>
      </c>
      <c r="N150">
        <f>IF(TbRegistroEntradas[[#This Row],[Data do Caixa Previsto]]="",0,YEAR(TbRegistroEntradas[[#This Row],[Data do Caixa Previsto]]))</f>
        <v>2018</v>
      </c>
      <c r="O150" t="str">
        <f ca="1">IF(AND(TbRegistroEntradas[[#This Row],[Data do Caixa Previsto]]&lt;TODAY(),TbRegistroEntradas[[#This Row],[Data do Caixa Realizado]]=""),"Vencida","Não Vencida")</f>
        <v>Não Vencida</v>
      </c>
      <c r="P150" t="str">
        <f>IF(TbRegistroEntradas[[#This Row],[Data da Competência]]=TbRegistroEntradas[[#This Row],[Data do Caixa Previsto]],"Vista","Prazo")</f>
        <v>Vista</v>
      </c>
      <c r="Q15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51" spans="2:17" x14ac:dyDescent="0.25">
      <c r="B151" s="11">
        <v>43400</v>
      </c>
      <c r="C151" s="11">
        <v>43387</v>
      </c>
      <c r="D151" s="11">
        <v>43400</v>
      </c>
      <c r="E151" t="s">
        <v>24</v>
      </c>
      <c r="F151" t="s">
        <v>34</v>
      </c>
      <c r="G151" t="s">
        <v>205</v>
      </c>
      <c r="H151" s="114">
        <v>3744</v>
      </c>
      <c r="I151">
        <f>IF(TbRegistroEntradas[[#This Row],[Data do Caixa Realizado]]="",0,MONTH(TbRegistroEntradas[[#This Row],[Data do Caixa Realizado]]))</f>
        <v>10</v>
      </c>
      <c r="J151">
        <f>IF(TbRegistroEntradas[[#This Row],[Data do Caixa Realizado]]="",0,YEAR(TbRegistroEntradas[[#This Row],[Data do Caixa Realizado]]))</f>
        <v>2018</v>
      </c>
      <c r="K151">
        <f>IF(TbRegistroEntradas[[#This Row],[Data da Competência]]="",0,MONTH(TbRegistroEntradas[[#This Row],[Data da Competência]]))</f>
        <v>10</v>
      </c>
      <c r="L151">
        <f>IF(TbRegistroEntradas[[#This Row],[Data da Competência]]="",0,YEAR(TbRegistroEntradas[[#This Row],[Data da Competência]]))</f>
        <v>2018</v>
      </c>
      <c r="M151">
        <f>IF(TbRegistroEntradas[[#This Row],[Data do Caixa Previsto]]="",0,MONTH(TbRegistroEntradas[[#This Row],[Data do Caixa Previsto]]))</f>
        <v>10</v>
      </c>
      <c r="N151">
        <f>IF(TbRegistroEntradas[[#This Row],[Data do Caixa Previsto]]="",0,YEAR(TbRegistroEntradas[[#This Row],[Data do Caixa Previsto]]))</f>
        <v>2018</v>
      </c>
      <c r="O151" t="str">
        <f ca="1">IF(AND(TbRegistroEntradas[[#This Row],[Data do Caixa Previsto]]&lt;TODAY(),TbRegistroEntradas[[#This Row],[Data do Caixa Realizado]]=""),"Vencida","Não Vencida")</f>
        <v>Não Vencida</v>
      </c>
      <c r="P151" t="str">
        <f>IF(TbRegistroEntradas[[#This Row],[Data da Competência]]=TbRegistroEntradas[[#This Row],[Data do Caixa Previsto]],"Vista","Prazo")</f>
        <v>Prazo</v>
      </c>
      <c r="Q15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52" spans="2:17" x14ac:dyDescent="0.25">
      <c r="B152" s="11" t="s">
        <v>68</v>
      </c>
      <c r="C152" s="11">
        <v>43389</v>
      </c>
      <c r="D152" s="11">
        <v>43438</v>
      </c>
      <c r="E152" t="s">
        <v>24</v>
      </c>
      <c r="F152" t="s">
        <v>35</v>
      </c>
      <c r="G152" t="s">
        <v>206</v>
      </c>
      <c r="H152" s="114">
        <v>4061</v>
      </c>
      <c r="I152">
        <f>IF(TbRegistroEntradas[[#This Row],[Data do Caixa Realizado]]="",0,MONTH(TbRegistroEntradas[[#This Row],[Data do Caixa Realizado]]))</f>
        <v>0</v>
      </c>
      <c r="J152">
        <f>IF(TbRegistroEntradas[[#This Row],[Data do Caixa Realizado]]="",0,YEAR(TbRegistroEntradas[[#This Row],[Data do Caixa Realizado]]))</f>
        <v>0</v>
      </c>
      <c r="K152">
        <f>IF(TbRegistroEntradas[[#This Row],[Data da Competência]]="",0,MONTH(TbRegistroEntradas[[#This Row],[Data da Competência]]))</f>
        <v>10</v>
      </c>
      <c r="L152">
        <f>IF(TbRegistroEntradas[[#This Row],[Data da Competência]]="",0,YEAR(TbRegistroEntradas[[#This Row],[Data da Competência]]))</f>
        <v>2018</v>
      </c>
      <c r="M152">
        <f>IF(TbRegistroEntradas[[#This Row],[Data do Caixa Previsto]]="",0,MONTH(TbRegistroEntradas[[#This Row],[Data do Caixa Previsto]]))</f>
        <v>12</v>
      </c>
      <c r="N152">
        <f>IF(TbRegistroEntradas[[#This Row],[Data do Caixa Previsto]]="",0,YEAR(TbRegistroEntradas[[#This Row],[Data do Caixa Previsto]]))</f>
        <v>2018</v>
      </c>
      <c r="O152" t="str">
        <f ca="1">IF(AND(TbRegistroEntradas[[#This Row],[Data do Caixa Previsto]]&lt;TODAY(),TbRegistroEntradas[[#This Row],[Data do Caixa Realizado]]=""),"Vencida","Não Vencida")</f>
        <v>Vencida</v>
      </c>
      <c r="P152" t="str">
        <f>IF(TbRegistroEntradas[[#This Row],[Data da Competência]]=TbRegistroEntradas[[#This Row],[Data do Caixa Previsto]],"Vista","Prazo")</f>
        <v>Prazo</v>
      </c>
      <c r="Q15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1915</v>
      </c>
    </row>
    <row r="153" spans="2:17" x14ac:dyDescent="0.25">
      <c r="B153" s="11">
        <v>43435</v>
      </c>
      <c r="C153" s="11">
        <v>43394</v>
      </c>
      <c r="D153" s="11">
        <v>43435</v>
      </c>
      <c r="E153" t="s">
        <v>24</v>
      </c>
      <c r="F153" t="s">
        <v>32</v>
      </c>
      <c r="G153" t="s">
        <v>207</v>
      </c>
      <c r="H153" s="114">
        <v>4404</v>
      </c>
      <c r="I153">
        <f>IF(TbRegistroEntradas[[#This Row],[Data do Caixa Realizado]]="",0,MONTH(TbRegistroEntradas[[#This Row],[Data do Caixa Realizado]]))</f>
        <v>12</v>
      </c>
      <c r="J153">
        <f>IF(TbRegistroEntradas[[#This Row],[Data do Caixa Realizado]]="",0,YEAR(TbRegistroEntradas[[#This Row],[Data do Caixa Realizado]]))</f>
        <v>2018</v>
      </c>
      <c r="K153">
        <f>IF(TbRegistroEntradas[[#This Row],[Data da Competência]]="",0,MONTH(TbRegistroEntradas[[#This Row],[Data da Competência]]))</f>
        <v>10</v>
      </c>
      <c r="L153">
        <f>IF(TbRegistroEntradas[[#This Row],[Data da Competência]]="",0,YEAR(TbRegistroEntradas[[#This Row],[Data da Competência]]))</f>
        <v>2018</v>
      </c>
      <c r="M153">
        <f>IF(TbRegistroEntradas[[#This Row],[Data do Caixa Previsto]]="",0,MONTH(TbRegistroEntradas[[#This Row],[Data do Caixa Previsto]]))</f>
        <v>12</v>
      </c>
      <c r="N153">
        <f>IF(TbRegistroEntradas[[#This Row],[Data do Caixa Previsto]]="",0,YEAR(TbRegistroEntradas[[#This Row],[Data do Caixa Previsto]]))</f>
        <v>2018</v>
      </c>
      <c r="O153" t="str">
        <f ca="1">IF(AND(TbRegistroEntradas[[#This Row],[Data do Caixa Previsto]]&lt;TODAY(),TbRegistroEntradas[[#This Row],[Data do Caixa Realizado]]=""),"Vencida","Não Vencida")</f>
        <v>Não Vencida</v>
      </c>
      <c r="P153" t="str">
        <f>IF(TbRegistroEntradas[[#This Row],[Data da Competência]]=TbRegistroEntradas[[#This Row],[Data do Caixa Previsto]],"Vista","Prazo")</f>
        <v>Prazo</v>
      </c>
      <c r="Q15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54" spans="2:17" x14ac:dyDescent="0.25">
      <c r="B154" s="11">
        <v>43424</v>
      </c>
      <c r="C154" s="11">
        <v>43398</v>
      </c>
      <c r="D154" s="11">
        <v>43419</v>
      </c>
      <c r="E154" t="s">
        <v>24</v>
      </c>
      <c r="F154" t="s">
        <v>34</v>
      </c>
      <c r="G154" t="s">
        <v>208</v>
      </c>
      <c r="H154" s="114">
        <v>2429</v>
      </c>
      <c r="I154">
        <f>IF(TbRegistroEntradas[[#This Row],[Data do Caixa Realizado]]="",0,MONTH(TbRegistroEntradas[[#This Row],[Data do Caixa Realizado]]))</f>
        <v>11</v>
      </c>
      <c r="J154">
        <f>IF(TbRegistroEntradas[[#This Row],[Data do Caixa Realizado]]="",0,YEAR(TbRegistroEntradas[[#This Row],[Data do Caixa Realizado]]))</f>
        <v>2018</v>
      </c>
      <c r="K154">
        <f>IF(TbRegistroEntradas[[#This Row],[Data da Competência]]="",0,MONTH(TbRegistroEntradas[[#This Row],[Data da Competência]]))</f>
        <v>10</v>
      </c>
      <c r="L154">
        <f>IF(TbRegistroEntradas[[#This Row],[Data da Competência]]="",0,YEAR(TbRegistroEntradas[[#This Row],[Data da Competência]]))</f>
        <v>2018</v>
      </c>
      <c r="M154">
        <f>IF(TbRegistroEntradas[[#This Row],[Data do Caixa Previsto]]="",0,MONTH(TbRegistroEntradas[[#This Row],[Data do Caixa Previsto]]))</f>
        <v>11</v>
      </c>
      <c r="N154">
        <f>IF(TbRegistroEntradas[[#This Row],[Data do Caixa Previsto]]="",0,YEAR(TbRegistroEntradas[[#This Row],[Data do Caixa Previsto]]))</f>
        <v>2018</v>
      </c>
      <c r="O154" t="str">
        <f ca="1">IF(AND(TbRegistroEntradas[[#This Row],[Data do Caixa Previsto]]&lt;TODAY(),TbRegistroEntradas[[#This Row],[Data do Caixa Realizado]]=""),"Vencida","Não Vencida")</f>
        <v>Não Vencida</v>
      </c>
      <c r="P154" t="str">
        <f>IF(TbRegistroEntradas[[#This Row],[Data da Competência]]=TbRegistroEntradas[[#This Row],[Data do Caixa Previsto]],"Vista","Prazo")</f>
        <v>Prazo</v>
      </c>
      <c r="Q15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v>
      </c>
    </row>
    <row r="155" spans="2:17" x14ac:dyDescent="0.25">
      <c r="B155" s="11">
        <v>43398</v>
      </c>
      <c r="C155" s="11">
        <v>43398</v>
      </c>
      <c r="D155" s="11">
        <v>43398</v>
      </c>
      <c r="E155" t="s">
        <v>24</v>
      </c>
      <c r="F155" t="s">
        <v>32</v>
      </c>
      <c r="G155" t="s">
        <v>209</v>
      </c>
      <c r="H155" s="114">
        <v>2713</v>
      </c>
      <c r="I155">
        <f>IF(TbRegistroEntradas[[#This Row],[Data do Caixa Realizado]]="",0,MONTH(TbRegistroEntradas[[#This Row],[Data do Caixa Realizado]]))</f>
        <v>10</v>
      </c>
      <c r="J155">
        <f>IF(TbRegistroEntradas[[#This Row],[Data do Caixa Realizado]]="",0,YEAR(TbRegistroEntradas[[#This Row],[Data do Caixa Realizado]]))</f>
        <v>2018</v>
      </c>
      <c r="K155">
        <f>IF(TbRegistroEntradas[[#This Row],[Data da Competência]]="",0,MONTH(TbRegistroEntradas[[#This Row],[Data da Competência]]))</f>
        <v>10</v>
      </c>
      <c r="L155">
        <f>IF(TbRegistroEntradas[[#This Row],[Data da Competência]]="",0,YEAR(TbRegistroEntradas[[#This Row],[Data da Competência]]))</f>
        <v>2018</v>
      </c>
      <c r="M155">
        <f>IF(TbRegistroEntradas[[#This Row],[Data do Caixa Previsto]]="",0,MONTH(TbRegistroEntradas[[#This Row],[Data do Caixa Previsto]]))</f>
        <v>10</v>
      </c>
      <c r="N155">
        <f>IF(TbRegistroEntradas[[#This Row],[Data do Caixa Previsto]]="",0,YEAR(TbRegistroEntradas[[#This Row],[Data do Caixa Previsto]]))</f>
        <v>2018</v>
      </c>
      <c r="O155" t="str">
        <f ca="1">IF(AND(TbRegistroEntradas[[#This Row],[Data do Caixa Previsto]]&lt;TODAY(),TbRegistroEntradas[[#This Row],[Data do Caixa Realizado]]=""),"Vencida","Não Vencida")</f>
        <v>Não Vencida</v>
      </c>
      <c r="P155" t="str">
        <f>IF(TbRegistroEntradas[[#This Row],[Data da Competência]]=TbRegistroEntradas[[#This Row],[Data do Caixa Previsto]],"Vista","Prazo")</f>
        <v>Vista</v>
      </c>
      <c r="Q15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56" spans="2:17" x14ac:dyDescent="0.25">
      <c r="B156" s="11" t="s">
        <v>68</v>
      </c>
      <c r="C156" s="11">
        <v>43403</v>
      </c>
      <c r="D156" s="11">
        <v>43403</v>
      </c>
      <c r="E156" t="s">
        <v>24</v>
      </c>
      <c r="F156" t="s">
        <v>34</v>
      </c>
      <c r="G156" t="s">
        <v>210</v>
      </c>
      <c r="H156" s="114">
        <v>3787</v>
      </c>
      <c r="I156">
        <f>IF(TbRegistroEntradas[[#This Row],[Data do Caixa Realizado]]="",0,MONTH(TbRegistroEntradas[[#This Row],[Data do Caixa Realizado]]))</f>
        <v>0</v>
      </c>
      <c r="J156">
        <f>IF(TbRegistroEntradas[[#This Row],[Data do Caixa Realizado]]="",0,YEAR(TbRegistroEntradas[[#This Row],[Data do Caixa Realizado]]))</f>
        <v>0</v>
      </c>
      <c r="K156">
        <f>IF(TbRegistroEntradas[[#This Row],[Data da Competência]]="",0,MONTH(TbRegistroEntradas[[#This Row],[Data da Competência]]))</f>
        <v>10</v>
      </c>
      <c r="L156">
        <f>IF(TbRegistroEntradas[[#This Row],[Data da Competência]]="",0,YEAR(TbRegistroEntradas[[#This Row],[Data da Competência]]))</f>
        <v>2018</v>
      </c>
      <c r="M156">
        <f>IF(TbRegistroEntradas[[#This Row],[Data do Caixa Previsto]]="",0,MONTH(TbRegistroEntradas[[#This Row],[Data do Caixa Previsto]]))</f>
        <v>10</v>
      </c>
      <c r="N156">
        <f>IF(TbRegistroEntradas[[#This Row],[Data do Caixa Previsto]]="",0,YEAR(TbRegistroEntradas[[#This Row],[Data do Caixa Previsto]]))</f>
        <v>2018</v>
      </c>
      <c r="O156" t="str">
        <f ca="1">IF(AND(TbRegistroEntradas[[#This Row],[Data do Caixa Previsto]]&lt;TODAY(),TbRegistroEntradas[[#This Row],[Data do Caixa Realizado]]=""),"Vencida","Não Vencida")</f>
        <v>Vencida</v>
      </c>
      <c r="P156" t="str">
        <f>IF(TbRegistroEntradas[[#This Row],[Data da Competência]]=TbRegistroEntradas[[#This Row],[Data do Caixa Previsto]],"Vista","Prazo")</f>
        <v>Vista</v>
      </c>
      <c r="Q15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1950</v>
      </c>
    </row>
    <row r="157" spans="2:17" x14ac:dyDescent="0.25">
      <c r="B157" s="11">
        <v>43442</v>
      </c>
      <c r="C157" s="11">
        <v>43408</v>
      </c>
      <c r="D157" s="11">
        <v>43442</v>
      </c>
      <c r="E157" t="s">
        <v>24</v>
      </c>
      <c r="F157" t="s">
        <v>33</v>
      </c>
      <c r="G157" t="s">
        <v>211</v>
      </c>
      <c r="H157" s="114">
        <v>1820</v>
      </c>
      <c r="I157">
        <f>IF(TbRegistroEntradas[[#This Row],[Data do Caixa Realizado]]="",0,MONTH(TbRegistroEntradas[[#This Row],[Data do Caixa Realizado]]))</f>
        <v>12</v>
      </c>
      <c r="J157">
        <f>IF(TbRegistroEntradas[[#This Row],[Data do Caixa Realizado]]="",0,YEAR(TbRegistroEntradas[[#This Row],[Data do Caixa Realizado]]))</f>
        <v>2018</v>
      </c>
      <c r="K157">
        <f>IF(TbRegistroEntradas[[#This Row],[Data da Competência]]="",0,MONTH(TbRegistroEntradas[[#This Row],[Data da Competência]]))</f>
        <v>11</v>
      </c>
      <c r="L157">
        <f>IF(TbRegistroEntradas[[#This Row],[Data da Competência]]="",0,YEAR(TbRegistroEntradas[[#This Row],[Data da Competência]]))</f>
        <v>2018</v>
      </c>
      <c r="M157">
        <f>IF(TbRegistroEntradas[[#This Row],[Data do Caixa Previsto]]="",0,MONTH(TbRegistroEntradas[[#This Row],[Data do Caixa Previsto]]))</f>
        <v>12</v>
      </c>
      <c r="N157">
        <f>IF(TbRegistroEntradas[[#This Row],[Data do Caixa Previsto]]="",0,YEAR(TbRegistroEntradas[[#This Row],[Data do Caixa Previsto]]))</f>
        <v>2018</v>
      </c>
      <c r="O157" t="str">
        <f ca="1">IF(AND(TbRegistroEntradas[[#This Row],[Data do Caixa Previsto]]&lt;TODAY(),TbRegistroEntradas[[#This Row],[Data do Caixa Realizado]]=""),"Vencida","Não Vencida")</f>
        <v>Não Vencida</v>
      </c>
      <c r="P157" t="str">
        <f>IF(TbRegistroEntradas[[#This Row],[Data da Competência]]=TbRegistroEntradas[[#This Row],[Data do Caixa Previsto]],"Vista","Prazo")</f>
        <v>Prazo</v>
      </c>
      <c r="Q15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58" spans="2:17" x14ac:dyDescent="0.25">
      <c r="B158" s="11">
        <v>43431</v>
      </c>
      <c r="C158" s="11">
        <v>43412</v>
      </c>
      <c r="D158" s="11">
        <v>43431</v>
      </c>
      <c r="E158" t="s">
        <v>24</v>
      </c>
      <c r="F158" t="s">
        <v>34</v>
      </c>
      <c r="G158" t="s">
        <v>212</v>
      </c>
      <c r="H158" s="114">
        <v>4135</v>
      </c>
      <c r="I158">
        <f>IF(TbRegistroEntradas[[#This Row],[Data do Caixa Realizado]]="",0,MONTH(TbRegistroEntradas[[#This Row],[Data do Caixa Realizado]]))</f>
        <v>11</v>
      </c>
      <c r="J158">
        <f>IF(TbRegistroEntradas[[#This Row],[Data do Caixa Realizado]]="",0,YEAR(TbRegistroEntradas[[#This Row],[Data do Caixa Realizado]]))</f>
        <v>2018</v>
      </c>
      <c r="K158">
        <f>IF(TbRegistroEntradas[[#This Row],[Data da Competência]]="",0,MONTH(TbRegistroEntradas[[#This Row],[Data da Competência]]))</f>
        <v>11</v>
      </c>
      <c r="L158">
        <f>IF(TbRegistroEntradas[[#This Row],[Data da Competência]]="",0,YEAR(TbRegistroEntradas[[#This Row],[Data da Competência]]))</f>
        <v>2018</v>
      </c>
      <c r="M158">
        <f>IF(TbRegistroEntradas[[#This Row],[Data do Caixa Previsto]]="",0,MONTH(TbRegistroEntradas[[#This Row],[Data do Caixa Previsto]]))</f>
        <v>11</v>
      </c>
      <c r="N158">
        <f>IF(TbRegistroEntradas[[#This Row],[Data do Caixa Previsto]]="",0,YEAR(TbRegistroEntradas[[#This Row],[Data do Caixa Previsto]]))</f>
        <v>2018</v>
      </c>
      <c r="O158" t="str">
        <f ca="1">IF(AND(TbRegistroEntradas[[#This Row],[Data do Caixa Previsto]]&lt;TODAY(),TbRegistroEntradas[[#This Row],[Data do Caixa Realizado]]=""),"Vencida","Não Vencida")</f>
        <v>Não Vencida</v>
      </c>
      <c r="P158" t="str">
        <f>IF(TbRegistroEntradas[[#This Row],[Data da Competência]]=TbRegistroEntradas[[#This Row],[Data do Caixa Previsto]],"Vista","Prazo")</f>
        <v>Prazo</v>
      </c>
      <c r="Q15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59" spans="2:17" x14ac:dyDescent="0.25">
      <c r="B159" s="11">
        <v>43421</v>
      </c>
      <c r="C159" s="11">
        <v>43415</v>
      </c>
      <c r="D159" s="11">
        <v>43421</v>
      </c>
      <c r="E159" t="s">
        <v>24</v>
      </c>
      <c r="F159" t="s">
        <v>34</v>
      </c>
      <c r="G159" t="s">
        <v>213</v>
      </c>
      <c r="H159" s="114">
        <v>3902</v>
      </c>
      <c r="I159">
        <f>IF(TbRegistroEntradas[[#This Row],[Data do Caixa Realizado]]="",0,MONTH(TbRegistroEntradas[[#This Row],[Data do Caixa Realizado]]))</f>
        <v>11</v>
      </c>
      <c r="J159">
        <f>IF(TbRegistroEntradas[[#This Row],[Data do Caixa Realizado]]="",0,YEAR(TbRegistroEntradas[[#This Row],[Data do Caixa Realizado]]))</f>
        <v>2018</v>
      </c>
      <c r="K159">
        <f>IF(TbRegistroEntradas[[#This Row],[Data da Competência]]="",0,MONTH(TbRegistroEntradas[[#This Row],[Data da Competência]]))</f>
        <v>11</v>
      </c>
      <c r="L159">
        <f>IF(TbRegistroEntradas[[#This Row],[Data da Competência]]="",0,YEAR(TbRegistroEntradas[[#This Row],[Data da Competência]]))</f>
        <v>2018</v>
      </c>
      <c r="M159">
        <f>IF(TbRegistroEntradas[[#This Row],[Data do Caixa Previsto]]="",0,MONTH(TbRegistroEntradas[[#This Row],[Data do Caixa Previsto]]))</f>
        <v>11</v>
      </c>
      <c r="N159">
        <f>IF(TbRegistroEntradas[[#This Row],[Data do Caixa Previsto]]="",0,YEAR(TbRegistroEntradas[[#This Row],[Data do Caixa Previsto]]))</f>
        <v>2018</v>
      </c>
      <c r="O159" t="str">
        <f ca="1">IF(AND(TbRegistroEntradas[[#This Row],[Data do Caixa Previsto]]&lt;TODAY(),TbRegistroEntradas[[#This Row],[Data do Caixa Realizado]]=""),"Vencida","Não Vencida")</f>
        <v>Não Vencida</v>
      </c>
      <c r="P159" t="str">
        <f>IF(TbRegistroEntradas[[#This Row],[Data da Competência]]=TbRegistroEntradas[[#This Row],[Data do Caixa Previsto]],"Vista","Prazo")</f>
        <v>Prazo</v>
      </c>
      <c r="Q15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60" spans="2:17" x14ac:dyDescent="0.25">
      <c r="B160" s="11">
        <v>43418</v>
      </c>
      <c r="C160" s="11">
        <v>43418</v>
      </c>
      <c r="D160" s="11">
        <v>43418</v>
      </c>
      <c r="E160" t="s">
        <v>24</v>
      </c>
      <c r="F160" t="s">
        <v>34</v>
      </c>
      <c r="G160" t="s">
        <v>214</v>
      </c>
      <c r="H160" s="114">
        <v>4319</v>
      </c>
      <c r="I160">
        <f>IF(TbRegistroEntradas[[#This Row],[Data do Caixa Realizado]]="",0,MONTH(TbRegistroEntradas[[#This Row],[Data do Caixa Realizado]]))</f>
        <v>11</v>
      </c>
      <c r="J160">
        <f>IF(TbRegistroEntradas[[#This Row],[Data do Caixa Realizado]]="",0,YEAR(TbRegistroEntradas[[#This Row],[Data do Caixa Realizado]]))</f>
        <v>2018</v>
      </c>
      <c r="K160">
        <f>IF(TbRegistroEntradas[[#This Row],[Data da Competência]]="",0,MONTH(TbRegistroEntradas[[#This Row],[Data da Competência]]))</f>
        <v>11</v>
      </c>
      <c r="L160">
        <f>IF(TbRegistroEntradas[[#This Row],[Data da Competência]]="",0,YEAR(TbRegistroEntradas[[#This Row],[Data da Competência]]))</f>
        <v>2018</v>
      </c>
      <c r="M160">
        <f>IF(TbRegistroEntradas[[#This Row],[Data do Caixa Previsto]]="",0,MONTH(TbRegistroEntradas[[#This Row],[Data do Caixa Previsto]]))</f>
        <v>11</v>
      </c>
      <c r="N160">
        <f>IF(TbRegistroEntradas[[#This Row],[Data do Caixa Previsto]]="",0,YEAR(TbRegistroEntradas[[#This Row],[Data do Caixa Previsto]]))</f>
        <v>2018</v>
      </c>
      <c r="O160" t="str">
        <f ca="1">IF(AND(TbRegistroEntradas[[#This Row],[Data do Caixa Previsto]]&lt;TODAY(),TbRegistroEntradas[[#This Row],[Data do Caixa Realizado]]=""),"Vencida","Não Vencida")</f>
        <v>Não Vencida</v>
      </c>
      <c r="P160" t="str">
        <f>IF(TbRegistroEntradas[[#This Row],[Data da Competência]]=TbRegistroEntradas[[#This Row],[Data do Caixa Previsto]],"Vista","Prazo")</f>
        <v>Vista</v>
      </c>
      <c r="Q16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61" spans="2:17" x14ac:dyDescent="0.25">
      <c r="B161" s="11">
        <v>43537</v>
      </c>
      <c r="C161" s="11">
        <v>43421</v>
      </c>
      <c r="D161" s="11">
        <v>43464</v>
      </c>
      <c r="E161" t="s">
        <v>24</v>
      </c>
      <c r="F161" t="s">
        <v>32</v>
      </c>
      <c r="G161" t="s">
        <v>215</v>
      </c>
      <c r="H161" s="114">
        <v>3068</v>
      </c>
      <c r="I161">
        <f>IF(TbRegistroEntradas[[#This Row],[Data do Caixa Realizado]]="",0,MONTH(TbRegistroEntradas[[#This Row],[Data do Caixa Realizado]]))</f>
        <v>3</v>
      </c>
      <c r="J161">
        <f>IF(TbRegistroEntradas[[#This Row],[Data do Caixa Realizado]]="",0,YEAR(TbRegistroEntradas[[#This Row],[Data do Caixa Realizado]]))</f>
        <v>2019</v>
      </c>
      <c r="K161">
        <f>IF(TbRegistroEntradas[[#This Row],[Data da Competência]]="",0,MONTH(TbRegistroEntradas[[#This Row],[Data da Competência]]))</f>
        <v>11</v>
      </c>
      <c r="L161">
        <f>IF(TbRegistroEntradas[[#This Row],[Data da Competência]]="",0,YEAR(TbRegistroEntradas[[#This Row],[Data da Competência]]))</f>
        <v>2018</v>
      </c>
      <c r="M161">
        <f>IF(TbRegistroEntradas[[#This Row],[Data do Caixa Previsto]]="",0,MONTH(TbRegistroEntradas[[#This Row],[Data do Caixa Previsto]]))</f>
        <v>12</v>
      </c>
      <c r="N161">
        <f>IF(TbRegistroEntradas[[#This Row],[Data do Caixa Previsto]]="",0,YEAR(TbRegistroEntradas[[#This Row],[Data do Caixa Previsto]]))</f>
        <v>2018</v>
      </c>
      <c r="O161" t="str">
        <f ca="1">IF(AND(TbRegistroEntradas[[#This Row],[Data do Caixa Previsto]]&lt;TODAY(),TbRegistroEntradas[[#This Row],[Data do Caixa Realizado]]=""),"Vencida","Não Vencida")</f>
        <v>Não Vencida</v>
      </c>
      <c r="P161" t="str">
        <f>IF(TbRegistroEntradas[[#This Row],[Data da Competência]]=TbRegistroEntradas[[#This Row],[Data do Caixa Previsto]],"Vista","Prazo")</f>
        <v>Prazo</v>
      </c>
      <c r="Q16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73</v>
      </c>
    </row>
    <row r="162" spans="2:17" x14ac:dyDescent="0.25">
      <c r="B162" s="11">
        <v>43425</v>
      </c>
      <c r="C162" s="11">
        <v>43425</v>
      </c>
      <c r="D162" s="11">
        <v>43425</v>
      </c>
      <c r="E162" t="s">
        <v>24</v>
      </c>
      <c r="F162" t="s">
        <v>34</v>
      </c>
      <c r="G162" t="s">
        <v>216</v>
      </c>
      <c r="H162" s="114">
        <v>1880</v>
      </c>
      <c r="I162">
        <f>IF(TbRegistroEntradas[[#This Row],[Data do Caixa Realizado]]="",0,MONTH(TbRegistroEntradas[[#This Row],[Data do Caixa Realizado]]))</f>
        <v>11</v>
      </c>
      <c r="J162">
        <f>IF(TbRegistroEntradas[[#This Row],[Data do Caixa Realizado]]="",0,YEAR(TbRegistroEntradas[[#This Row],[Data do Caixa Realizado]]))</f>
        <v>2018</v>
      </c>
      <c r="K162">
        <f>IF(TbRegistroEntradas[[#This Row],[Data da Competência]]="",0,MONTH(TbRegistroEntradas[[#This Row],[Data da Competência]]))</f>
        <v>11</v>
      </c>
      <c r="L162">
        <f>IF(TbRegistroEntradas[[#This Row],[Data da Competência]]="",0,YEAR(TbRegistroEntradas[[#This Row],[Data da Competência]]))</f>
        <v>2018</v>
      </c>
      <c r="M162">
        <f>IF(TbRegistroEntradas[[#This Row],[Data do Caixa Previsto]]="",0,MONTH(TbRegistroEntradas[[#This Row],[Data do Caixa Previsto]]))</f>
        <v>11</v>
      </c>
      <c r="N162">
        <f>IF(TbRegistroEntradas[[#This Row],[Data do Caixa Previsto]]="",0,YEAR(TbRegistroEntradas[[#This Row],[Data do Caixa Previsto]]))</f>
        <v>2018</v>
      </c>
      <c r="O162" t="str">
        <f ca="1">IF(AND(TbRegistroEntradas[[#This Row],[Data do Caixa Previsto]]&lt;TODAY(),TbRegistroEntradas[[#This Row],[Data do Caixa Realizado]]=""),"Vencida","Não Vencida")</f>
        <v>Não Vencida</v>
      </c>
      <c r="P162" t="str">
        <f>IF(TbRegistroEntradas[[#This Row],[Data da Competência]]=TbRegistroEntradas[[#This Row],[Data do Caixa Previsto]],"Vista","Prazo")</f>
        <v>Vista</v>
      </c>
      <c r="Q16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63" spans="2:17" x14ac:dyDescent="0.25">
      <c r="B163" s="11">
        <v>43465</v>
      </c>
      <c r="C163" s="11">
        <v>43427</v>
      </c>
      <c r="D163" s="11">
        <v>43465</v>
      </c>
      <c r="E163" t="s">
        <v>24</v>
      </c>
      <c r="F163" t="s">
        <v>34</v>
      </c>
      <c r="G163" t="s">
        <v>217</v>
      </c>
      <c r="H163" s="114">
        <v>1414</v>
      </c>
      <c r="I163">
        <f>IF(TbRegistroEntradas[[#This Row],[Data do Caixa Realizado]]="",0,MONTH(TbRegistroEntradas[[#This Row],[Data do Caixa Realizado]]))</f>
        <v>12</v>
      </c>
      <c r="J163">
        <f>IF(TbRegistroEntradas[[#This Row],[Data do Caixa Realizado]]="",0,YEAR(TbRegistroEntradas[[#This Row],[Data do Caixa Realizado]]))</f>
        <v>2018</v>
      </c>
      <c r="K163">
        <f>IF(TbRegistroEntradas[[#This Row],[Data da Competência]]="",0,MONTH(TbRegistroEntradas[[#This Row],[Data da Competência]]))</f>
        <v>11</v>
      </c>
      <c r="L163">
        <f>IF(TbRegistroEntradas[[#This Row],[Data da Competência]]="",0,YEAR(TbRegistroEntradas[[#This Row],[Data da Competência]]))</f>
        <v>2018</v>
      </c>
      <c r="M163">
        <f>IF(TbRegistroEntradas[[#This Row],[Data do Caixa Previsto]]="",0,MONTH(TbRegistroEntradas[[#This Row],[Data do Caixa Previsto]]))</f>
        <v>12</v>
      </c>
      <c r="N163">
        <f>IF(TbRegistroEntradas[[#This Row],[Data do Caixa Previsto]]="",0,YEAR(TbRegistroEntradas[[#This Row],[Data do Caixa Previsto]]))</f>
        <v>2018</v>
      </c>
      <c r="O163" t="str">
        <f ca="1">IF(AND(TbRegistroEntradas[[#This Row],[Data do Caixa Previsto]]&lt;TODAY(),TbRegistroEntradas[[#This Row],[Data do Caixa Realizado]]=""),"Vencida","Não Vencida")</f>
        <v>Não Vencida</v>
      </c>
      <c r="P163" t="str">
        <f>IF(TbRegistroEntradas[[#This Row],[Data da Competência]]=TbRegistroEntradas[[#This Row],[Data do Caixa Previsto]],"Vista","Prazo")</f>
        <v>Prazo</v>
      </c>
      <c r="Q16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64" spans="2:17" x14ac:dyDescent="0.25">
      <c r="B164" s="11">
        <v>43457</v>
      </c>
      <c r="C164" s="11">
        <v>43430</v>
      </c>
      <c r="D164" s="11">
        <v>43447</v>
      </c>
      <c r="E164" t="s">
        <v>24</v>
      </c>
      <c r="F164" t="s">
        <v>31</v>
      </c>
      <c r="G164" t="s">
        <v>218</v>
      </c>
      <c r="H164" s="114">
        <v>919</v>
      </c>
      <c r="I164">
        <f>IF(TbRegistroEntradas[[#This Row],[Data do Caixa Realizado]]="",0,MONTH(TbRegistroEntradas[[#This Row],[Data do Caixa Realizado]]))</f>
        <v>12</v>
      </c>
      <c r="J164">
        <f>IF(TbRegistroEntradas[[#This Row],[Data do Caixa Realizado]]="",0,YEAR(TbRegistroEntradas[[#This Row],[Data do Caixa Realizado]]))</f>
        <v>2018</v>
      </c>
      <c r="K164">
        <f>IF(TbRegistroEntradas[[#This Row],[Data da Competência]]="",0,MONTH(TbRegistroEntradas[[#This Row],[Data da Competência]]))</f>
        <v>11</v>
      </c>
      <c r="L164">
        <f>IF(TbRegistroEntradas[[#This Row],[Data da Competência]]="",0,YEAR(TbRegistroEntradas[[#This Row],[Data da Competência]]))</f>
        <v>2018</v>
      </c>
      <c r="M164">
        <f>IF(TbRegistroEntradas[[#This Row],[Data do Caixa Previsto]]="",0,MONTH(TbRegistroEntradas[[#This Row],[Data do Caixa Previsto]]))</f>
        <v>12</v>
      </c>
      <c r="N164">
        <f>IF(TbRegistroEntradas[[#This Row],[Data do Caixa Previsto]]="",0,YEAR(TbRegistroEntradas[[#This Row],[Data do Caixa Previsto]]))</f>
        <v>2018</v>
      </c>
      <c r="O164" t="str">
        <f ca="1">IF(AND(TbRegistroEntradas[[#This Row],[Data do Caixa Previsto]]&lt;TODAY(),TbRegistroEntradas[[#This Row],[Data do Caixa Realizado]]=""),"Vencida","Não Vencida")</f>
        <v>Não Vencida</v>
      </c>
      <c r="P164" t="str">
        <f>IF(TbRegistroEntradas[[#This Row],[Data da Competência]]=TbRegistroEntradas[[#This Row],[Data do Caixa Previsto]],"Vista","Prazo")</f>
        <v>Prazo</v>
      </c>
      <c r="Q16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10</v>
      </c>
    </row>
    <row r="165" spans="2:17" x14ac:dyDescent="0.25">
      <c r="B165" s="11">
        <v>43431</v>
      </c>
      <c r="C165" s="11">
        <v>43431</v>
      </c>
      <c r="D165" s="11">
        <v>43431</v>
      </c>
      <c r="E165" t="s">
        <v>24</v>
      </c>
      <c r="F165" t="s">
        <v>34</v>
      </c>
      <c r="G165" t="s">
        <v>219</v>
      </c>
      <c r="H165" s="114">
        <v>4801</v>
      </c>
      <c r="I165">
        <f>IF(TbRegistroEntradas[[#This Row],[Data do Caixa Realizado]]="",0,MONTH(TbRegistroEntradas[[#This Row],[Data do Caixa Realizado]]))</f>
        <v>11</v>
      </c>
      <c r="J165">
        <f>IF(TbRegistroEntradas[[#This Row],[Data do Caixa Realizado]]="",0,YEAR(TbRegistroEntradas[[#This Row],[Data do Caixa Realizado]]))</f>
        <v>2018</v>
      </c>
      <c r="K165">
        <f>IF(TbRegistroEntradas[[#This Row],[Data da Competência]]="",0,MONTH(TbRegistroEntradas[[#This Row],[Data da Competência]]))</f>
        <v>11</v>
      </c>
      <c r="L165">
        <f>IF(TbRegistroEntradas[[#This Row],[Data da Competência]]="",0,YEAR(TbRegistroEntradas[[#This Row],[Data da Competência]]))</f>
        <v>2018</v>
      </c>
      <c r="M165">
        <f>IF(TbRegistroEntradas[[#This Row],[Data do Caixa Previsto]]="",0,MONTH(TbRegistroEntradas[[#This Row],[Data do Caixa Previsto]]))</f>
        <v>11</v>
      </c>
      <c r="N165">
        <f>IF(TbRegistroEntradas[[#This Row],[Data do Caixa Previsto]]="",0,YEAR(TbRegistroEntradas[[#This Row],[Data do Caixa Previsto]]))</f>
        <v>2018</v>
      </c>
      <c r="O165" t="str">
        <f ca="1">IF(AND(TbRegistroEntradas[[#This Row],[Data do Caixa Previsto]]&lt;TODAY(),TbRegistroEntradas[[#This Row],[Data do Caixa Realizado]]=""),"Vencida","Não Vencida")</f>
        <v>Não Vencida</v>
      </c>
      <c r="P165" t="str">
        <f>IF(TbRegistroEntradas[[#This Row],[Data da Competência]]=TbRegistroEntradas[[#This Row],[Data do Caixa Previsto]],"Vista","Prazo")</f>
        <v>Vista</v>
      </c>
      <c r="Q16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66" spans="2:17" x14ac:dyDescent="0.25">
      <c r="B166" s="11">
        <v>43434</v>
      </c>
      <c r="C166" s="11">
        <v>43434</v>
      </c>
      <c r="D166" s="11">
        <v>43434</v>
      </c>
      <c r="E166" t="s">
        <v>24</v>
      </c>
      <c r="F166" t="s">
        <v>35</v>
      </c>
      <c r="G166" t="s">
        <v>220</v>
      </c>
      <c r="H166" s="114">
        <v>4639</v>
      </c>
      <c r="I166">
        <f>IF(TbRegistroEntradas[[#This Row],[Data do Caixa Realizado]]="",0,MONTH(TbRegistroEntradas[[#This Row],[Data do Caixa Realizado]]))</f>
        <v>11</v>
      </c>
      <c r="J166">
        <f>IF(TbRegistroEntradas[[#This Row],[Data do Caixa Realizado]]="",0,YEAR(TbRegistroEntradas[[#This Row],[Data do Caixa Realizado]]))</f>
        <v>2018</v>
      </c>
      <c r="K166">
        <f>IF(TbRegistroEntradas[[#This Row],[Data da Competência]]="",0,MONTH(TbRegistroEntradas[[#This Row],[Data da Competência]]))</f>
        <v>11</v>
      </c>
      <c r="L166">
        <f>IF(TbRegistroEntradas[[#This Row],[Data da Competência]]="",0,YEAR(TbRegistroEntradas[[#This Row],[Data da Competência]]))</f>
        <v>2018</v>
      </c>
      <c r="M166">
        <f>IF(TbRegistroEntradas[[#This Row],[Data do Caixa Previsto]]="",0,MONTH(TbRegistroEntradas[[#This Row],[Data do Caixa Previsto]]))</f>
        <v>11</v>
      </c>
      <c r="N166">
        <f>IF(TbRegistroEntradas[[#This Row],[Data do Caixa Previsto]]="",0,YEAR(TbRegistroEntradas[[#This Row],[Data do Caixa Previsto]]))</f>
        <v>2018</v>
      </c>
      <c r="O166" t="str">
        <f ca="1">IF(AND(TbRegistroEntradas[[#This Row],[Data do Caixa Previsto]]&lt;TODAY(),TbRegistroEntradas[[#This Row],[Data do Caixa Realizado]]=""),"Vencida","Não Vencida")</f>
        <v>Não Vencida</v>
      </c>
      <c r="P166" t="str">
        <f>IF(TbRegistroEntradas[[#This Row],[Data da Competência]]=TbRegistroEntradas[[#This Row],[Data do Caixa Previsto]],"Vista","Prazo")</f>
        <v>Vista</v>
      </c>
      <c r="Q16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67" spans="2:17" x14ac:dyDescent="0.25">
      <c r="B167" s="11" t="s">
        <v>68</v>
      </c>
      <c r="C167" s="11">
        <v>43440</v>
      </c>
      <c r="D167" s="11">
        <v>43487</v>
      </c>
      <c r="E167" t="s">
        <v>24</v>
      </c>
      <c r="F167" t="s">
        <v>34</v>
      </c>
      <c r="G167" t="s">
        <v>221</v>
      </c>
      <c r="H167" s="114">
        <v>1209</v>
      </c>
      <c r="I167">
        <f>IF(TbRegistroEntradas[[#This Row],[Data do Caixa Realizado]]="",0,MONTH(TbRegistroEntradas[[#This Row],[Data do Caixa Realizado]]))</f>
        <v>0</v>
      </c>
      <c r="J167">
        <f>IF(TbRegistroEntradas[[#This Row],[Data do Caixa Realizado]]="",0,YEAR(TbRegistroEntradas[[#This Row],[Data do Caixa Realizado]]))</f>
        <v>0</v>
      </c>
      <c r="K167">
        <f>IF(TbRegistroEntradas[[#This Row],[Data da Competência]]="",0,MONTH(TbRegistroEntradas[[#This Row],[Data da Competência]]))</f>
        <v>12</v>
      </c>
      <c r="L167">
        <f>IF(TbRegistroEntradas[[#This Row],[Data da Competência]]="",0,YEAR(TbRegistroEntradas[[#This Row],[Data da Competência]]))</f>
        <v>2018</v>
      </c>
      <c r="M167">
        <f>IF(TbRegistroEntradas[[#This Row],[Data do Caixa Previsto]]="",0,MONTH(TbRegistroEntradas[[#This Row],[Data do Caixa Previsto]]))</f>
        <v>1</v>
      </c>
      <c r="N167">
        <f>IF(TbRegistroEntradas[[#This Row],[Data do Caixa Previsto]]="",0,YEAR(TbRegistroEntradas[[#This Row],[Data do Caixa Previsto]]))</f>
        <v>2019</v>
      </c>
      <c r="O167" t="str">
        <f ca="1">IF(AND(TbRegistroEntradas[[#This Row],[Data do Caixa Previsto]]&lt;TODAY(),TbRegistroEntradas[[#This Row],[Data do Caixa Realizado]]=""),"Vencida","Não Vencida")</f>
        <v>Vencida</v>
      </c>
      <c r="P167" t="str">
        <f>IF(TbRegistroEntradas[[#This Row],[Data da Competência]]=TbRegistroEntradas[[#This Row],[Data do Caixa Previsto]],"Vista","Prazo")</f>
        <v>Prazo</v>
      </c>
      <c r="Q16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1866</v>
      </c>
    </row>
    <row r="168" spans="2:17" x14ac:dyDescent="0.25">
      <c r="B168" s="11">
        <v>43560</v>
      </c>
      <c r="C168" s="11">
        <v>43444</v>
      </c>
      <c r="D168" s="11">
        <v>43477</v>
      </c>
      <c r="E168" t="s">
        <v>24</v>
      </c>
      <c r="F168" t="s">
        <v>35</v>
      </c>
      <c r="G168" t="s">
        <v>222</v>
      </c>
      <c r="H168" s="114">
        <v>483</v>
      </c>
      <c r="I168">
        <f>IF(TbRegistroEntradas[[#This Row],[Data do Caixa Realizado]]="",0,MONTH(TbRegistroEntradas[[#This Row],[Data do Caixa Realizado]]))</f>
        <v>4</v>
      </c>
      <c r="J168">
        <f>IF(TbRegistroEntradas[[#This Row],[Data do Caixa Realizado]]="",0,YEAR(TbRegistroEntradas[[#This Row],[Data do Caixa Realizado]]))</f>
        <v>2019</v>
      </c>
      <c r="K168">
        <f>IF(TbRegistroEntradas[[#This Row],[Data da Competência]]="",0,MONTH(TbRegistroEntradas[[#This Row],[Data da Competência]]))</f>
        <v>12</v>
      </c>
      <c r="L168">
        <f>IF(TbRegistroEntradas[[#This Row],[Data da Competência]]="",0,YEAR(TbRegistroEntradas[[#This Row],[Data da Competência]]))</f>
        <v>2018</v>
      </c>
      <c r="M168">
        <f>IF(TbRegistroEntradas[[#This Row],[Data do Caixa Previsto]]="",0,MONTH(TbRegistroEntradas[[#This Row],[Data do Caixa Previsto]]))</f>
        <v>1</v>
      </c>
      <c r="N168">
        <f>IF(TbRegistroEntradas[[#This Row],[Data do Caixa Previsto]]="",0,YEAR(TbRegistroEntradas[[#This Row],[Data do Caixa Previsto]]))</f>
        <v>2019</v>
      </c>
      <c r="O168" t="str">
        <f ca="1">IF(AND(TbRegistroEntradas[[#This Row],[Data do Caixa Previsto]]&lt;TODAY(),TbRegistroEntradas[[#This Row],[Data do Caixa Realizado]]=""),"Vencida","Não Vencida")</f>
        <v>Não Vencida</v>
      </c>
      <c r="P168" t="str">
        <f>IF(TbRegistroEntradas[[#This Row],[Data da Competência]]=TbRegistroEntradas[[#This Row],[Data do Caixa Previsto]],"Vista","Prazo")</f>
        <v>Prazo</v>
      </c>
      <c r="Q16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83</v>
      </c>
    </row>
    <row r="169" spans="2:17" x14ac:dyDescent="0.25">
      <c r="B169" s="11">
        <v>43503</v>
      </c>
      <c r="C169" s="11">
        <v>43451</v>
      </c>
      <c r="D169" s="11">
        <v>43469</v>
      </c>
      <c r="E169" t="s">
        <v>24</v>
      </c>
      <c r="F169" t="s">
        <v>34</v>
      </c>
      <c r="G169" t="s">
        <v>223</v>
      </c>
      <c r="H169" s="114">
        <v>373</v>
      </c>
      <c r="I169">
        <f>IF(TbRegistroEntradas[[#This Row],[Data do Caixa Realizado]]="",0,MONTH(TbRegistroEntradas[[#This Row],[Data do Caixa Realizado]]))</f>
        <v>2</v>
      </c>
      <c r="J169">
        <f>IF(TbRegistroEntradas[[#This Row],[Data do Caixa Realizado]]="",0,YEAR(TbRegistroEntradas[[#This Row],[Data do Caixa Realizado]]))</f>
        <v>2019</v>
      </c>
      <c r="K169">
        <f>IF(TbRegistroEntradas[[#This Row],[Data da Competência]]="",0,MONTH(TbRegistroEntradas[[#This Row],[Data da Competência]]))</f>
        <v>12</v>
      </c>
      <c r="L169">
        <f>IF(TbRegistroEntradas[[#This Row],[Data da Competência]]="",0,YEAR(TbRegistroEntradas[[#This Row],[Data da Competência]]))</f>
        <v>2018</v>
      </c>
      <c r="M169">
        <f>IF(TbRegistroEntradas[[#This Row],[Data do Caixa Previsto]]="",0,MONTH(TbRegistroEntradas[[#This Row],[Data do Caixa Previsto]]))</f>
        <v>1</v>
      </c>
      <c r="N169">
        <f>IF(TbRegistroEntradas[[#This Row],[Data do Caixa Previsto]]="",0,YEAR(TbRegistroEntradas[[#This Row],[Data do Caixa Previsto]]))</f>
        <v>2019</v>
      </c>
      <c r="O169" t="str">
        <f ca="1">IF(AND(TbRegistroEntradas[[#This Row],[Data do Caixa Previsto]]&lt;TODAY(),TbRegistroEntradas[[#This Row],[Data do Caixa Realizado]]=""),"Vencida","Não Vencida")</f>
        <v>Não Vencida</v>
      </c>
      <c r="P169" t="str">
        <f>IF(TbRegistroEntradas[[#This Row],[Data da Competência]]=TbRegistroEntradas[[#This Row],[Data do Caixa Previsto]],"Vista","Prazo")</f>
        <v>Prazo</v>
      </c>
      <c r="Q16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34</v>
      </c>
    </row>
    <row r="170" spans="2:17" x14ac:dyDescent="0.25">
      <c r="B170" s="11">
        <v>43459</v>
      </c>
      <c r="C170" s="11">
        <v>43454</v>
      </c>
      <c r="D170" s="11">
        <v>43459</v>
      </c>
      <c r="E170" t="s">
        <v>24</v>
      </c>
      <c r="F170" t="s">
        <v>32</v>
      </c>
      <c r="G170" t="s">
        <v>224</v>
      </c>
      <c r="H170" s="114">
        <v>2088</v>
      </c>
      <c r="I170">
        <f>IF(TbRegistroEntradas[[#This Row],[Data do Caixa Realizado]]="",0,MONTH(TbRegistroEntradas[[#This Row],[Data do Caixa Realizado]]))</f>
        <v>12</v>
      </c>
      <c r="J170">
        <f>IF(TbRegistroEntradas[[#This Row],[Data do Caixa Realizado]]="",0,YEAR(TbRegistroEntradas[[#This Row],[Data do Caixa Realizado]]))</f>
        <v>2018</v>
      </c>
      <c r="K170">
        <f>IF(TbRegistroEntradas[[#This Row],[Data da Competência]]="",0,MONTH(TbRegistroEntradas[[#This Row],[Data da Competência]]))</f>
        <v>12</v>
      </c>
      <c r="L170">
        <f>IF(TbRegistroEntradas[[#This Row],[Data da Competência]]="",0,YEAR(TbRegistroEntradas[[#This Row],[Data da Competência]]))</f>
        <v>2018</v>
      </c>
      <c r="M170">
        <f>IF(TbRegistroEntradas[[#This Row],[Data do Caixa Previsto]]="",0,MONTH(TbRegistroEntradas[[#This Row],[Data do Caixa Previsto]]))</f>
        <v>12</v>
      </c>
      <c r="N170">
        <f>IF(TbRegistroEntradas[[#This Row],[Data do Caixa Previsto]]="",0,YEAR(TbRegistroEntradas[[#This Row],[Data do Caixa Previsto]]))</f>
        <v>2018</v>
      </c>
      <c r="O170" t="str">
        <f ca="1">IF(AND(TbRegistroEntradas[[#This Row],[Data do Caixa Previsto]]&lt;TODAY(),TbRegistroEntradas[[#This Row],[Data do Caixa Realizado]]=""),"Vencida","Não Vencida")</f>
        <v>Não Vencida</v>
      </c>
      <c r="P170" t="str">
        <f>IF(TbRegistroEntradas[[#This Row],[Data da Competência]]=TbRegistroEntradas[[#This Row],[Data do Caixa Previsto]],"Vista","Prazo")</f>
        <v>Prazo</v>
      </c>
      <c r="Q17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71" spans="2:17" x14ac:dyDescent="0.25">
      <c r="B171" s="11">
        <v>43497</v>
      </c>
      <c r="C171" s="11">
        <v>43455</v>
      </c>
      <c r="D171" s="11">
        <v>43497</v>
      </c>
      <c r="E171" t="s">
        <v>24</v>
      </c>
      <c r="F171" t="s">
        <v>35</v>
      </c>
      <c r="G171" t="s">
        <v>225</v>
      </c>
      <c r="H171" s="114">
        <v>1168</v>
      </c>
      <c r="I171">
        <f>IF(TbRegistroEntradas[[#This Row],[Data do Caixa Realizado]]="",0,MONTH(TbRegistroEntradas[[#This Row],[Data do Caixa Realizado]]))</f>
        <v>2</v>
      </c>
      <c r="J171">
        <f>IF(TbRegistroEntradas[[#This Row],[Data do Caixa Realizado]]="",0,YEAR(TbRegistroEntradas[[#This Row],[Data do Caixa Realizado]]))</f>
        <v>2019</v>
      </c>
      <c r="K171">
        <f>IF(TbRegistroEntradas[[#This Row],[Data da Competência]]="",0,MONTH(TbRegistroEntradas[[#This Row],[Data da Competência]]))</f>
        <v>12</v>
      </c>
      <c r="L171">
        <f>IF(TbRegistroEntradas[[#This Row],[Data da Competência]]="",0,YEAR(TbRegistroEntradas[[#This Row],[Data da Competência]]))</f>
        <v>2018</v>
      </c>
      <c r="M171">
        <f>IF(TbRegistroEntradas[[#This Row],[Data do Caixa Previsto]]="",0,MONTH(TbRegistroEntradas[[#This Row],[Data do Caixa Previsto]]))</f>
        <v>2</v>
      </c>
      <c r="N171">
        <f>IF(TbRegistroEntradas[[#This Row],[Data do Caixa Previsto]]="",0,YEAR(TbRegistroEntradas[[#This Row],[Data do Caixa Previsto]]))</f>
        <v>2019</v>
      </c>
      <c r="O171" t="str">
        <f ca="1">IF(AND(TbRegistroEntradas[[#This Row],[Data do Caixa Previsto]]&lt;TODAY(),TbRegistroEntradas[[#This Row],[Data do Caixa Realizado]]=""),"Vencida","Não Vencida")</f>
        <v>Não Vencida</v>
      </c>
      <c r="P171" t="str">
        <f>IF(TbRegistroEntradas[[#This Row],[Data da Competência]]=TbRegistroEntradas[[#This Row],[Data do Caixa Previsto]],"Vista","Prazo")</f>
        <v>Prazo</v>
      </c>
      <c r="Q17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72" spans="2:17" x14ac:dyDescent="0.25">
      <c r="B172" s="11">
        <v>43457</v>
      </c>
      <c r="C172" s="11">
        <v>43457</v>
      </c>
      <c r="D172" s="11">
        <v>43457</v>
      </c>
      <c r="E172" t="s">
        <v>24</v>
      </c>
      <c r="F172" t="s">
        <v>35</v>
      </c>
      <c r="G172" t="s">
        <v>226</v>
      </c>
      <c r="H172" s="114">
        <v>4429</v>
      </c>
      <c r="I172">
        <f>IF(TbRegistroEntradas[[#This Row],[Data do Caixa Realizado]]="",0,MONTH(TbRegistroEntradas[[#This Row],[Data do Caixa Realizado]]))</f>
        <v>12</v>
      </c>
      <c r="J172">
        <f>IF(TbRegistroEntradas[[#This Row],[Data do Caixa Realizado]]="",0,YEAR(TbRegistroEntradas[[#This Row],[Data do Caixa Realizado]]))</f>
        <v>2018</v>
      </c>
      <c r="K172">
        <f>IF(TbRegistroEntradas[[#This Row],[Data da Competência]]="",0,MONTH(TbRegistroEntradas[[#This Row],[Data da Competência]]))</f>
        <v>12</v>
      </c>
      <c r="L172">
        <f>IF(TbRegistroEntradas[[#This Row],[Data da Competência]]="",0,YEAR(TbRegistroEntradas[[#This Row],[Data da Competência]]))</f>
        <v>2018</v>
      </c>
      <c r="M172">
        <f>IF(TbRegistroEntradas[[#This Row],[Data do Caixa Previsto]]="",0,MONTH(TbRegistroEntradas[[#This Row],[Data do Caixa Previsto]]))</f>
        <v>12</v>
      </c>
      <c r="N172">
        <f>IF(TbRegistroEntradas[[#This Row],[Data do Caixa Previsto]]="",0,YEAR(TbRegistroEntradas[[#This Row],[Data do Caixa Previsto]]))</f>
        <v>2018</v>
      </c>
      <c r="O172" t="str">
        <f ca="1">IF(AND(TbRegistroEntradas[[#This Row],[Data do Caixa Previsto]]&lt;TODAY(),TbRegistroEntradas[[#This Row],[Data do Caixa Realizado]]=""),"Vencida","Não Vencida")</f>
        <v>Não Vencida</v>
      </c>
      <c r="P172" t="str">
        <f>IF(TbRegistroEntradas[[#This Row],[Data da Competência]]=TbRegistroEntradas[[#This Row],[Data do Caixa Previsto]],"Vista","Prazo")</f>
        <v>Vista</v>
      </c>
      <c r="Q17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73" spans="2:17" x14ac:dyDescent="0.25">
      <c r="B173" s="11">
        <v>43519</v>
      </c>
      <c r="C173" s="11">
        <v>43462</v>
      </c>
      <c r="D173" s="11">
        <v>43519</v>
      </c>
      <c r="E173" t="s">
        <v>24</v>
      </c>
      <c r="F173" t="s">
        <v>34</v>
      </c>
      <c r="G173" t="s">
        <v>227</v>
      </c>
      <c r="H173" s="114">
        <v>4955</v>
      </c>
      <c r="I173">
        <f>IF(TbRegistroEntradas[[#This Row],[Data do Caixa Realizado]]="",0,MONTH(TbRegistroEntradas[[#This Row],[Data do Caixa Realizado]]))</f>
        <v>2</v>
      </c>
      <c r="J173">
        <f>IF(TbRegistroEntradas[[#This Row],[Data do Caixa Realizado]]="",0,YEAR(TbRegistroEntradas[[#This Row],[Data do Caixa Realizado]]))</f>
        <v>2019</v>
      </c>
      <c r="K173">
        <f>IF(TbRegistroEntradas[[#This Row],[Data da Competência]]="",0,MONTH(TbRegistroEntradas[[#This Row],[Data da Competência]]))</f>
        <v>12</v>
      </c>
      <c r="L173">
        <f>IF(TbRegistroEntradas[[#This Row],[Data da Competência]]="",0,YEAR(TbRegistroEntradas[[#This Row],[Data da Competência]]))</f>
        <v>2018</v>
      </c>
      <c r="M173">
        <f>IF(TbRegistroEntradas[[#This Row],[Data do Caixa Previsto]]="",0,MONTH(TbRegistroEntradas[[#This Row],[Data do Caixa Previsto]]))</f>
        <v>2</v>
      </c>
      <c r="N173">
        <f>IF(TbRegistroEntradas[[#This Row],[Data do Caixa Previsto]]="",0,YEAR(TbRegistroEntradas[[#This Row],[Data do Caixa Previsto]]))</f>
        <v>2019</v>
      </c>
      <c r="O173" t="str">
        <f ca="1">IF(AND(TbRegistroEntradas[[#This Row],[Data do Caixa Previsto]]&lt;TODAY(),TbRegistroEntradas[[#This Row],[Data do Caixa Realizado]]=""),"Vencida","Não Vencida")</f>
        <v>Não Vencida</v>
      </c>
      <c r="P173" t="str">
        <f>IF(TbRegistroEntradas[[#This Row],[Data da Competência]]=TbRegistroEntradas[[#This Row],[Data do Caixa Previsto]],"Vista","Prazo")</f>
        <v>Prazo</v>
      </c>
      <c r="Q17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74" spans="2:17" x14ac:dyDescent="0.25">
      <c r="B174" s="11">
        <v>43483</v>
      </c>
      <c r="C174" s="11">
        <v>43465</v>
      </c>
      <c r="D174" s="11">
        <v>43483</v>
      </c>
      <c r="E174" t="s">
        <v>24</v>
      </c>
      <c r="F174" t="s">
        <v>34</v>
      </c>
      <c r="G174" t="s">
        <v>228</v>
      </c>
      <c r="H174" s="114">
        <v>3201</v>
      </c>
      <c r="I174">
        <f>IF(TbRegistroEntradas[[#This Row],[Data do Caixa Realizado]]="",0,MONTH(TbRegistroEntradas[[#This Row],[Data do Caixa Realizado]]))</f>
        <v>1</v>
      </c>
      <c r="J174">
        <f>IF(TbRegistroEntradas[[#This Row],[Data do Caixa Realizado]]="",0,YEAR(TbRegistroEntradas[[#This Row],[Data do Caixa Realizado]]))</f>
        <v>2019</v>
      </c>
      <c r="K174">
        <f>IF(TbRegistroEntradas[[#This Row],[Data da Competência]]="",0,MONTH(TbRegistroEntradas[[#This Row],[Data da Competência]]))</f>
        <v>12</v>
      </c>
      <c r="L174">
        <f>IF(TbRegistroEntradas[[#This Row],[Data da Competência]]="",0,YEAR(TbRegistroEntradas[[#This Row],[Data da Competência]]))</f>
        <v>2018</v>
      </c>
      <c r="M174">
        <f>IF(TbRegistroEntradas[[#This Row],[Data do Caixa Previsto]]="",0,MONTH(TbRegistroEntradas[[#This Row],[Data do Caixa Previsto]]))</f>
        <v>1</v>
      </c>
      <c r="N174">
        <f>IF(TbRegistroEntradas[[#This Row],[Data do Caixa Previsto]]="",0,YEAR(TbRegistroEntradas[[#This Row],[Data do Caixa Previsto]]))</f>
        <v>2019</v>
      </c>
      <c r="O174" t="str">
        <f ca="1">IF(AND(TbRegistroEntradas[[#This Row],[Data do Caixa Previsto]]&lt;TODAY(),TbRegistroEntradas[[#This Row],[Data do Caixa Realizado]]=""),"Vencida","Não Vencida")</f>
        <v>Não Vencida</v>
      </c>
      <c r="P174" t="str">
        <f>IF(TbRegistroEntradas[[#This Row],[Data da Competência]]=TbRegistroEntradas[[#This Row],[Data do Caixa Previsto]],"Vista","Prazo")</f>
        <v>Prazo</v>
      </c>
      <c r="Q17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75" spans="2:17" x14ac:dyDescent="0.25">
      <c r="B175" s="11">
        <v>43511</v>
      </c>
      <c r="C175" s="11">
        <v>43469</v>
      </c>
      <c r="D175" s="11">
        <v>43511</v>
      </c>
      <c r="E175" t="s">
        <v>24</v>
      </c>
      <c r="F175" t="s">
        <v>33</v>
      </c>
      <c r="G175" t="s">
        <v>229</v>
      </c>
      <c r="H175" s="114">
        <v>3007</v>
      </c>
      <c r="I175">
        <f>IF(TbRegistroEntradas[[#This Row],[Data do Caixa Realizado]]="",0,MONTH(TbRegistroEntradas[[#This Row],[Data do Caixa Realizado]]))</f>
        <v>2</v>
      </c>
      <c r="J175">
        <f>IF(TbRegistroEntradas[[#This Row],[Data do Caixa Realizado]]="",0,YEAR(TbRegistroEntradas[[#This Row],[Data do Caixa Realizado]]))</f>
        <v>2019</v>
      </c>
      <c r="K175">
        <f>IF(TbRegistroEntradas[[#This Row],[Data da Competência]]="",0,MONTH(TbRegistroEntradas[[#This Row],[Data da Competência]]))</f>
        <v>1</v>
      </c>
      <c r="L175">
        <f>IF(TbRegistroEntradas[[#This Row],[Data da Competência]]="",0,YEAR(TbRegistroEntradas[[#This Row],[Data da Competência]]))</f>
        <v>2019</v>
      </c>
      <c r="M175">
        <f>IF(TbRegistroEntradas[[#This Row],[Data do Caixa Previsto]]="",0,MONTH(TbRegistroEntradas[[#This Row],[Data do Caixa Previsto]]))</f>
        <v>2</v>
      </c>
      <c r="N175">
        <f>IF(TbRegistroEntradas[[#This Row],[Data do Caixa Previsto]]="",0,YEAR(TbRegistroEntradas[[#This Row],[Data do Caixa Previsto]]))</f>
        <v>2019</v>
      </c>
      <c r="O175" t="str">
        <f ca="1">IF(AND(TbRegistroEntradas[[#This Row],[Data do Caixa Previsto]]&lt;TODAY(),TbRegistroEntradas[[#This Row],[Data do Caixa Realizado]]=""),"Vencida","Não Vencida")</f>
        <v>Não Vencida</v>
      </c>
      <c r="P175" t="str">
        <f>IF(TbRegistroEntradas[[#This Row],[Data da Competência]]=TbRegistroEntradas[[#This Row],[Data do Caixa Previsto]],"Vista","Prazo")</f>
        <v>Prazo</v>
      </c>
      <c r="Q17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76" spans="2:17" x14ac:dyDescent="0.25">
      <c r="B176" s="11">
        <v>43473</v>
      </c>
      <c r="C176" s="11">
        <v>43473</v>
      </c>
      <c r="D176" s="11">
        <v>43473</v>
      </c>
      <c r="E176" t="s">
        <v>24</v>
      </c>
      <c r="F176" t="s">
        <v>35</v>
      </c>
      <c r="G176" t="s">
        <v>230</v>
      </c>
      <c r="H176" s="114">
        <v>900</v>
      </c>
      <c r="I176">
        <f>IF(TbRegistroEntradas[[#This Row],[Data do Caixa Realizado]]="",0,MONTH(TbRegistroEntradas[[#This Row],[Data do Caixa Realizado]]))</f>
        <v>1</v>
      </c>
      <c r="J176">
        <f>IF(TbRegistroEntradas[[#This Row],[Data do Caixa Realizado]]="",0,YEAR(TbRegistroEntradas[[#This Row],[Data do Caixa Realizado]]))</f>
        <v>2019</v>
      </c>
      <c r="K176">
        <f>IF(TbRegistroEntradas[[#This Row],[Data da Competência]]="",0,MONTH(TbRegistroEntradas[[#This Row],[Data da Competência]]))</f>
        <v>1</v>
      </c>
      <c r="L176">
        <f>IF(TbRegistroEntradas[[#This Row],[Data da Competência]]="",0,YEAR(TbRegistroEntradas[[#This Row],[Data da Competência]]))</f>
        <v>2019</v>
      </c>
      <c r="M176">
        <f>IF(TbRegistroEntradas[[#This Row],[Data do Caixa Previsto]]="",0,MONTH(TbRegistroEntradas[[#This Row],[Data do Caixa Previsto]]))</f>
        <v>1</v>
      </c>
      <c r="N176">
        <f>IF(TbRegistroEntradas[[#This Row],[Data do Caixa Previsto]]="",0,YEAR(TbRegistroEntradas[[#This Row],[Data do Caixa Previsto]]))</f>
        <v>2019</v>
      </c>
      <c r="O176" t="str">
        <f ca="1">IF(AND(TbRegistroEntradas[[#This Row],[Data do Caixa Previsto]]&lt;TODAY(),TbRegistroEntradas[[#This Row],[Data do Caixa Realizado]]=""),"Vencida","Não Vencida")</f>
        <v>Não Vencida</v>
      </c>
      <c r="P176" t="str">
        <f>IF(TbRegistroEntradas[[#This Row],[Data da Competência]]=TbRegistroEntradas[[#This Row],[Data do Caixa Previsto]],"Vista","Prazo")</f>
        <v>Vista</v>
      </c>
      <c r="Q17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77" spans="2:17" x14ac:dyDescent="0.25">
      <c r="B177" s="11">
        <v>43478</v>
      </c>
      <c r="C177" s="11">
        <v>43478</v>
      </c>
      <c r="D177" s="11">
        <v>43478</v>
      </c>
      <c r="E177" t="s">
        <v>24</v>
      </c>
      <c r="F177" t="s">
        <v>34</v>
      </c>
      <c r="G177" t="s">
        <v>231</v>
      </c>
      <c r="H177" s="114">
        <v>2970</v>
      </c>
      <c r="I177">
        <f>IF(TbRegistroEntradas[[#This Row],[Data do Caixa Realizado]]="",0,MONTH(TbRegistroEntradas[[#This Row],[Data do Caixa Realizado]]))</f>
        <v>1</v>
      </c>
      <c r="J177">
        <f>IF(TbRegistroEntradas[[#This Row],[Data do Caixa Realizado]]="",0,YEAR(TbRegistroEntradas[[#This Row],[Data do Caixa Realizado]]))</f>
        <v>2019</v>
      </c>
      <c r="K177">
        <f>IF(TbRegistroEntradas[[#This Row],[Data da Competência]]="",0,MONTH(TbRegistroEntradas[[#This Row],[Data da Competência]]))</f>
        <v>1</v>
      </c>
      <c r="L177">
        <f>IF(TbRegistroEntradas[[#This Row],[Data da Competência]]="",0,YEAR(TbRegistroEntradas[[#This Row],[Data da Competência]]))</f>
        <v>2019</v>
      </c>
      <c r="M177">
        <f>IF(TbRegistroEntradas[[#This Row],[Data do Caixa Previsto]]="",0,MONTH(TbRegistroEntradas[[#This Row],[Data do Caixa Previsto]]))</f>
        <v>1</v>
      </c>
      <c r="N177">
        <f>IF(TbRegistroEntradas[[#This Row],[Data do Caixa Previsto]]="",0,YEAR(TbRegistroEntradas[[#This Row],[Data do Caixa Previsto]]))</f>
        <v>2019</v>
      </c>
      <c r="O177" t="str">
        <f ca="1">IF(AND(TbRegistroEntradas[[#This Row],[Data do Caixa Previsto]]&lt;TODAY(),TbRegistroEntradas[[#This Row],[Data do Caixa Realizado]]=""),"Vencida","Não Vencida")</f>
        <v>Não Vencida</v>
      </c>
      <c r="P177" t="str">
        <f>IF(TbRegistroEntradas[[#This Row],[Data da Competência]]=TbRegistroEntradas[[#This Row],[Data do Caixa Previsto]],"Vista","Prazo")</f>
        <v>Vista</v>
      </c>
      <c r="Q17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78" spans="2:17" x14ac:dyDescent="0.25">
      <c r="B178" s="11">
        <v>43538</v>
      </c>
      <c r="C178" s="11">
        <v>43482</v>
      </c>
      <c r="D178" s="11">
        <v>43538</v>
      </c>
      <c r="E178" t="s">
        <v>24</v>
      </c>
      <c r="F178" t="s">
        <v>31</v>
      </c>
      <c r="G178" t="s">
        <v>232</v>
      </c>
      <c r="H178" s="114">
        <v>4993</v>
      </c>
      <c r="I178">
        <f>IF(TbRegistroEntradas[[#This Row],[Data do Caixa Realizado]]="",0,MONTH(TbRegistroEntradas[[#This Row],[Data do Caixa Realizado]]))</f>
        <v>3</v>
      </c>
      <c r="J178">
        <f>IF(TbRegistroEntradas[[#This Row],[Data do Caixa Realizado]]="",0,YEAR(TbRegistroEntradas[[#This Row],[Data do Caixa Realizado]]))</f>
        <v>2019</v>
      </c>
      <c r="K178">
        <f>IF(TbRegistroEntradas[[#This Row],[Data da Competência]]="",0,MONTH(TbRegistroEntradas[[#This Row],[Data da Competência]]))</f>
        <v>1</v>
      </c>
      <c r="L178">
        <f>IF(TbRegistroEntradas[[#This Row],[Data da Competência]]="",0,YEAR(TbRegistroEntradas[[#This Row],[Data da Competência]]))</f>
        <v>2019</v>
      </c>
      <c r="M178">
        <f>IF(TbRegistroEntradas[[#This Row],[Data do Caixa Previsto]]="",0,MONTH(TbRegistroEntradas[[#This Row],[Data do Caixa Previsto]]))</f>
        <v>3</v>
      </c>
      <c r="N178">
        <f>IF(TbRegistroEntradas[[#This Row],[Data do Caixa Previsto]]="",0,YEAR(TbRegistroEntradas[[#This Row],[Data do Caixa Previsto]]))</f>
        <v>2019</v>
      </c>
      <c r="O178" t="str">
        <f ca="1">IF(AND(TbRegistroEntradas[[#This Row],[Data do Caixa Previsto]]&lt;TODAY(),TbRegistroEntradas[[#This Row],[Data do Caixa Realizado]]=""),"Vencida","Não Vencida")</f>
        <v>Não Vencida</v>
      </c>
      <c r="P178" t="str">
        <f>IF(TbRegistroEntradas[[#This Row],[Data da Competência]]=TbRegistroEntradas[[#This Row],[Data do Caixa Previsto]],"Vista","Prazo")</f>
        <v>Prazo</v>
      </c>
      <c r="Q17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79" spans="2:17" x14ac:dyDescent="0.25">
      <c r="B179" s="11">
        <v>43485</v>
      </c>
      <c r="C179" s="11">
        <v>43485</v>
      </c>
      <c r="D179" s="11">
        <v>43485</v>
      </c>
      <c r="E179" t="s">
        <v>24</v>
      </c>
      <c r="F179" t="s">
        <v>35</v>
      </c>
      <c r="G179" t="s">
        <v>233</v>
      </c>
      <c r="H179" s="114">
        <v>1664</v>
      </c>
      <c r="I179">
        <f>IF(TbRegistroEntradas[[#This Row],[Data do Caixa Realizado]]="",0,MONTH(TbRegistroEntradas[[#This Row],[Data do Caixa Realizado]]))</f>
        <v>1</v>
      </c>
      <c r="J179">
        <f>IF(TbRegistroEntradas[[#This Row],[Data do Caixa Realizado]]="",0,YEAR(TbRegistroEntradas[[#This Row],[Data do Caixa Realizado]]))</f>
        <v>2019</v>
      </c>
      <c r="K179">
        <f>IF(TbRegistroEntradas[[#This Row],[Data da Competência]]="",0,MONTH(TbRegistroEntradas[[#This Row],[Data da Competência]]))</f>
        <v>1</v>
      </c>
      <c r="L179">
        <f>IF(TbRegistroEntradas[[#This Row],[Data da Competência]]="",0,YEAR(TbRegistroEntradas[[#This Row],[Data da Competência]]))</f>
        <v>2019</v>
      </c>
      <c r="M179">
        <f>IF(TbRegistroEntradas[[#This Row],[Data do Caixa Previsto]]="",0,MONTH(TbRegistroEntradas[[#This Row],[Data do Caixa Previsto]]))</f>
        <v>1</v>
      </c>
      <c r="N179">
        <f>IF(TbRegistroEntradas[[#This Row],[Data do Caixa Previsto]]="",0,YEAR(TbRegistroEntradas[[#This Row],[Data do Caixa Previsto]]))</f>
        <v>2019</v>
      </c>
      <c r="O179" t="str">
        <f ca="1">IF(AND(TbRegistroEntradas[[#This Row],[Data do Caixa Previsto]]&lt;TODAY(),TbRegistroEntradas[[#This Row],[Data do Caixa Realizado]]=""),"Vencida","Não Vencida")</f>
        <v>Não Vencida</v>
      </c>
      <c r="P179" t="str">
        <f>IF(TbRegistroEntradas[[#This Row],[Data da Competência]]=TbRegistroEntradas[[#This Row],[Data do Caixa Previsto]],"Vista","Prazo")</f>
        <v>Vista</v>
      </c>
      <c r="Q17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80" spans="2:17" x14ac:dyDescent="0.25">
      <c r="B180" s="11" t="s">
        <v>68</v>
      </c>
      <c r="C180" s="11">
        <v>43486</v>
      </c>
      <c r="D180" s="11">
        <v>43522</v>
      </c>
      <c r="E180" t="s">
        <v>24</v>
      </c>
      <c r="F180" t="s">
        <v>34</v>
      </c>
      <c r="G180" t="s">
        <v>234</v>
      </c>
      <c r="H180" s="114">
        <v>1815</v>
      </c>
      <c r="I180">
        <f>IF(TbRegistroEntradas[[#This Row],[Data do Caixa Realizado]]="",0,MONTH(TbRegistroEntradas[[#This Row],[Data do Caixa Realizado]]))</f>
        <v>0</v>
      </c>
      <c r="J180">
        <f>IF(TbRegistroEntradas[[#This Row],[Data do Caixa Realizado]]="",0,YEAR(TbRegistroEntradas[[#This Row],[Data do Caixa Realizado]]))</f>
        <v>0</v>
      </c>
      <c r="K180">
        <f>IF(TbRegistroEntradas[[#This Row],[Data da Competência]]="",0,MONTH(TbRegistroEntradas[[#This Row],[Data da Competência]]))</f>
        <v>1</v>
      </c>
      <c r="L180">
        <f>IF(TbRegistroEntradas[[#This Row],[Data da Competência]]="",0,YEAR(TbRegistroEntradas[[#This Row],[Data da Competência]]))</f>
        <v>2019</v>
      </c>
      <c r="M180">
        <f>IF(TbRegistroEntradas[[#This Row],[Data do Caixa Previsto]]="",0,MONTH(TbRegistroEntradas[[#This Row],[Data do Caixa Previsto]]))</f>
        <v>2</v>
      </c>
      <c r="N180">
        <f>IF(TbRegistroEntradas[[#This Row],[Data do Caixa Previsto]]="",0,YEAR(TbRegistroEntradas[[#This Row],[Data do Caixa Previsto]]))</f>
        <v>2019</v>
      </c>
      <c r="O180" t="str">
        <f ca="1">IF(AND(TbRegistroEntradas[[#This Row],[Data do Caixa Previsto]]&lt;TODAY(),TbRegistroEntradas[[#This Row],[Data do Caixa Realizado]]=""),"Vencida","Não Vencida")</f>
        <v>Vencida</v>
      </c>
      <c r="P180" t="str">
        <f>IF(TbRegistroEntradas[[#This Row],[Data da Competência]]=TbRegistroEntradas[[#This Row],[Data do Caixa Previsto]],"Vista","Prazo")</f>
        <v>Prazo</v>
      </c>
      <c r="Q18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1831</v>
      </c>
    </row>
    <row r="181" spans="2:17" x14ac:dyDescent="0.25">
      <c r="B181" s="11">
        <v>43505</v>
      </c>
      <c r="C181" s="11">
        <v>43488</v>
      </c>
      <c r="D181" s="11">
        <v>43505</v>
      </c>
      <c r="E181" t="s">
        <v>24</v>
      </c>
      <c r="F181" t="s">
        <v>33</v>
      </c>
      <c r="G181" t="s">
        <v>235</v>
      </c>
      <c r="H181" s="114">
        <v>3752</v>
      </c>
      <c r="I181">
        <f>IF(TbRegistroEntradas[[#This Row],[Data do Caixa Realizado]]="",0,MONTH(TbRegistroEntradas[[#This Row],[Data do Caixa Realizado]]))</f>
        <v>2</v>
      </c>
      <c r="J181">
        <f>IF(TbRegistroEntradas[[#This Row],[Data do Caixa Realizado]]="",0,YEAR(TbRegistroEntradas[[#This Row],[Data do Caixa Realizado]]))</f>
        <v>2019</v>
      </c>
      <c r="K181">
        <f>IF(TbRegistroEntradas[[#This Row],[Data da Competência]]="",0,MONTH(TbRegistroEntradas[[#This Row],[Data da Competência]]))</f>
        <v>1</v>
      </c>
      <c r="L181">
        <f>IF(TbRegistroEntradas[[#This Row],[Data da Competência]]="",0,YEAR(TbRegistroEntradas[[#This Row],[Data da Competência]]))</f>
        <v>2019</v>
      </c>
      <c r="M181">
        <f>IF(TbRegistroEntradas[[#This Row],[Data do Caixa Previsto]]="",0,MONTH(TbRegistroEntradas[[#This Row],[Data do Caixa Previsto]]))</f>
        <v>2</v>
      </c>
      <c r="N181">
        <f>IF(TbRegistroEntradas[[#This Row],[Data do Caixa Previsto]]="",0,YEAR(TbRegistroEntradas[[#This Row],[Data do Caixa Previsto]]))</f>
        <v>2019</v>
      </c>
      <c r="O181" t="str">
        <f ca="1">IF(AND(TbRegistroEntradas[[#This Row],[Data do Caixa Previsto]]&lt;TODAY(),TbRegistroEntradas[[#This Row],[Data do Caixa Realizado]]=""),"Vencida","Não Vencida")</f>
        <v>Não Vencida</v>
      </c>
      <c r="P181" t="str">
        <f>IF(TbRegistroEntradas[[#This Row],[Data da Competência]]=TbRegistroEntradas[[#This Row],[Data do Caixa Previsto]],"Vista","Prazo")</f>
        <v>Prazo</v>
      </c>
      <c r="Q18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82" spans="2:17" x14ac:dyDescent="0.25">
      <c r="B182" s="11" t="s">
        <v>68</v>
      </c>
      <c r="C182" s="11">
        <v>43492</v>
      </c>
      <c r="D182" s="11">
        <v>43513</v>
      </c>
      <c r="E182" t="s">
        <v>24</v>
      </c>
      <c r="F182" t="s">
        <v>34</v>
      </c>
      <c r="G182" t="s">
        <v>236</v>
      </c>
      <c r="H182" s="114">
        <v>177</v>
      </c>
      <c r="I182">
        <f>IF(TbRegistroEntradas[[#This Row],[Data do Caixa Realizado]]="",0,MONTH(TbRegistroEntradas[[#This Row],[Data do Caixa Realizado]]))</f>
        <v>0</v>
      </c>
      <c r="J182">
        <f>IF(TbRegistroEntradas[[#This Row],[Data do Caixa Realizado]]="",0,YEAR(TbRegistroEntradas[[#This Row],[Data do Caixa Realizado]]))</f>
        <v>0</v>
      </c>
      <c r="K182">
        <f>IF(TbRegistroEntradas[[#This Row],[Data da Competência]]="",0,MONTH(TbRegistroEntradas[[#This Row],[Data da Competência]]))</f>
        <v>1</v>
      </c>
      <c r="L182">
        <f>IF(TbRegistroEntradas[[#This Row],[Data da Competência]]="",0,YEAR(TbRegistroEntradas[[#This Row],[Data da Competência]]))</f>
        <v>2019</v>
      </c>
      <c r="M182">
        <f>IF(TbRegistroEntradas[[#This Row],[Data do Caixa Previsto]]="",0,MONTH(TbRegistroEntradas[[#This Row],[Data do Caixa Previsto]]))</f>
        <v>2</v>
      </c>
      <c r="N182">
        <f>IF(TbRegistroEntradas[[#This Row],[Data do Caixa Previsto]]="",0,YEAR(TbRegistroEntradas[[#This Row],[Data do Caixa Previsto]]))</f>
        <v>2019</v>
      </c>
      <c r="O182" t="str">
        <f ca="1">IF(AND(TbRegistroEntradas[[#This Row],[Data do Caixa Previsto]]&lt;TODAY(),TbRegistroEntradas[[#This Row],[Data do Caixa Realizado]]=""),"Vencida","Não Vencida")</f>
        <v>Vencida</v>
      </c>
      <c r="P182" t="str">
        <f>IF(TbRegistroEntradas[[#This Row],[Data da Competência]]=TbRegistroEntradas[[#This Row],[Data do Caixa Previsto]],"Vista","Prazo")</f>
        <v>Prazo</v>
      </c>
      <c r="Q18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1840</v>
      </c>
    </row>
    <row r="183" spans="2:17" x14ac:dyDescent="0.25">
      <c r="B183" s="11">
        <v>43494</v>
      </c>
      <c r="C183" s="11">
        <v>43494</v>
      </c>
      <c r="D183" s="11">
        <v>43494</v>
      </c>
      <c r="E183" t="s">
        <v>24</v>
      </c>
      <c r="F183" t="s">
        <v>34</v>
      </c>
      <c r="G183" t="s">
        <v>237</v>
      </c>
      <c r="H183" s="114">
        <v>3619</v>
      </c>
      <c r="I183">
        <f>IF(TbRegistroEntradas[[#This Row],[Data do Caixa Realizado]]="",0,MONTH(TbRegistroEntradas[[#This Row],[Data do Caixa Realizado]]))</f>
        <v>1</v>
      </c>
      <c r="J183">
        <f>IF(TbRegistroEntradas[[#This Row],[Data do Caixa Realizado]]="",0,YEAR(TbRegistroEntradas[[#This Row],[Data do Caixa Realizado]]))</f>
        <v>2019</v>
      </c>
      <c r="K183">
        <f>IF(TbRegistroEntradas[[#This Row],[Data da Competência]]="",0,MONTH(TbRegistroEntradas[[#This Row],[Data da Competência]]))</f>
        <v>1</v>
      </c>
      <c r="L183">
        <f>IF(TbRegistroEntradas[[#This Row],[Data da Competência]]="",0,YEAR(TbRegistroEntradas[[#This Row],[Data da Competência]]))</f>
        <v>2019</v>
      </c>
      <c r="M183">
        <f>IF(TbRegistroEntradas[[#This Row],[Data do Caixa Previsto]]="",0,MONTH(TbRegistroEntradas[[#This Row],[Data do Caixa Previsto]]))</f>
        <v>1</v>
      </c>
      <c r="N183">
        <f>IF(TbRegistroEntradas[[#This Row],[Data do Caixa Previsto]]="",0,YEAR(TbRegistroEntradas[[#This Row],[Data do Caixa Previsto]]))</f>
        <v>2019</v>
      </c>
      <c r="O183" t="str">
        <f ca="1">IF(AND(TbRegistroEntradas[[#This Row],[Data do Caixa Previsto]]&lt;TODAY(),TbRegistroEntradas[[#This Row],[Data do Caixa Realizado]]=""),"Vencida","Não Vencida")</f>
        <v>Não Vencida</v>
      </c>
      <c r="P183" t="str">
        <f>IF(TbRegistroEntradas[[#This Row],[Data da Competência]]=TbRegistroEntradas[[#This Row],[Data do Caixa Previsto]],"Vista","Prazo")</f>
        <v>Vista</v>
      </c>
      <c r="Q18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84" spans="2:17" x14ac:dyDescent="0.25">
      <c r="B184" s="11">
        <v>43535</v>
      </c>
      <c r="C184" s="11">
        <v>43498</v>
      </c>
      <c r="D184" s="11">
        <v>43534</v>
      </c>
      <c r="E184" t="s">
        <v>24</v>
      </c>
      <c r="F184" t="s">
        <v>33</v>
      </c>
      <c r="G184" t="s">
        <v>238</v>
      </c>
      <c r="H184" s="114">
        <v>4030</v>
      </c>
      <c r="I184">
        <f>IF(TbRegistroEntradas[[#This Row],[Data do Caixa Realizado]]="",0,MONTH(TbRegistroEntradas[[#This Row],[Data do Caixa Realizado]]))</f>
        <v>3</v>
      </c>
      <c r="J184">
        <f>IF(TbRegistroEntradas[[#This Row],[Data do Caixa Realizado]]="",0,YEAR(TbRegistroEntradas[[#This Row],[Data do Caixa Realizado]]))</f>
        <v>2019</v>
      </c>
      <c r="K184">
        <f>IF(TbRegistroEntradas[[#This Row],[Data da Competência]]="",0,MONTH(TbRegistroEntradas[[#This Row],[Data da Competência]]))</f>
        <v>2</v>
      </c>
      <c r="L184">
        <f>IF(TbRegistroEntradas[[#This Row],[Data da Competência]]="",0,YEAR(TbRegistroEntradas[[#This Row],[Data da Competência]]))</f>
        <v>2019</v>
      </c>
      <c r="M184">
        <f>IF(TbRegistroEntradas[[#This Row],[Data do Caixa Previsto]]="",0,MONTH(TbRegistroEntradas[[#This Row],[Data do Caixa Previsto]]))</f>
        <v>3</v>
      </c>
      <c r="N184">
        <f>IF(TbRegistroEntradas[[#This Row],[Data do Caixa Previsto]]="",0,YEAR(TbRegistroEntradas[[#This Row],[Data do Caixa Previsto]]))</f>
        <v>2019</v>
      </c>
      <c r="O184" t="str">
        <f ca="1">IF(AND(TbRegistroEntradas[[#This Row],[Data do Caixa Previsto]]&lt;TODAY(),TbRegistroEntradas[[#This Row],[Data do Caixa Realizado]]=""),"Vencida","Não Vencida")</f>
        <v>Não Vencida</v>
      </c>
      <c r="P184" t="str">
        <f>IF(TbRegistroEntradas[[#This Row],[Data da Competência]]=TbRegistroEntradas[[#This Row],[Data do Caixa Previsto]],"Vista","Prazo")</f>
        <v>Prazo</v>
      </c>
      <c r="Q18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v>
      </c>
    </row>
    <row r="185" spans="2:17" x14ac:dyDescent="0.25">
      <c r="B185" s="11">
        <v>43512</v>
      </c>
      <c r="C185" s="11">
        <v>43501</v>
      </c>
      <c r="D185" s="11">
        <v>43512</v>
      </c>
      <c r="E185" t="s">
        <v>24</v>
      </c>
      <c r="F185" t="s">
        <v>33</v>
      </c>
      <c r="G185" t="s">
        <v>239</v>
      </c>
      <c r="H185" s="114">
        <v>4157</v>
      </c>
      <c r="I185">
        <f>IF(TbRegistroEntradas[[#This Row],[Data do Caixa Realizado]]="",0,MONTH(TbRegistroEntradas[[#This Row],[Data do Caixa Realizado]]))</f>
        <v>2</v>
      </c>
      <c r="J185">
        <f>IF(TbRegistroEntradas[[#This Row],[Data do Caixa Realizado]]="",0,YEAR(TbRegistroEntradas[[#This Row],[Data do Caixa Realizado]]))</f>
        <v>2019</v>
      </c>
      <c r="K185">
        <f>IF(TbRegistroEntradas[[#This Row],[Data da Competência]]="",0,MONTH(TbRegistroEntradas[[#This Row],[Data da Competência]]))</f>
        <v>2</v>
      </c>
      <c r="L185">
        <f>IF(TbRegistroEntradas[[#This Row],[Data da Competência]]="",0,YEAR(TbRegistroEntradas[[#This Row],[Data da Competência]]))</f>
        <v>2019</v>
      </c>
      <c r="M185">
        <f>IF(TbRegistroEntradas[[#This Row],[Data do Caixa Previsto]]="",0,MONTH(TbRegistroEntradas[[#This Row],[Data do Caixa Previsto]]))</f>
        <v>2</v>
      </c>
      <c r="N185">
        <f>IF(TbRegistroEntradas[[#This Row],[Data do Caixa Previsto]]="",0,YEAR(TbRegistroEntradas[[#This Row],[Data do Caixa Previsto]]))</f>
        <v>2019</v>
      </c>
      <c r="O185" t="str">
        <f ca="1">IF(AND(TbRegistroEntradas[[#This Row],[Data do Caixa Previsto]]&lt;TODAY(),TbRegistroEntradas[[#This Row],[Data do Caixa Realizado]]=""),"Vencida","Não Vencida")</f>
        <v>Não Vencida</v>
      </c>
      <c r="P185" t="str">
        <f>IF(TbRegistroEntradas[[#This Row],[Data da Competência]]=TbRegistroEntradas[[#This Row],[Data do Caixa Previsto]],"Vista","Prazo")</f>
        <v>Prazo</v>
      </c>
      <c r="Q18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86" spans="2:17" x14ac:dyDescent="0.25">
      <c r="B186" s="11">
        <v>43532</v>
      </c>
      <c r="C186" s="11">
        <v>43502</v>
      </c>
      <c r="D186" s="11">
        <v>43532</v>
      </c>
      <c r="E186" t="s">
        <v>24</v>
      </c>
      <c r="F186" t="s">
        <v>32</v>
      </c>
      <c r="G186" t="s">
        <v>240</v>
      </c>
      <c r="H186" s="114">
        <v>1417</v>
      </c>
      <c r="I186">
        <f>IF(TbRegistroEntradas[[#This Row],[Data do Caixa Realizado]]="",0,MONTH(TbRegistroEntradas[[#This Row],[Data do Caixa Realizado]]))</f>
        <v>3</v>
      </c>
      <c r="J186">
        <f>IF(TbRegistroEntradas[[#This Row],[Data do Caixa Realizado]]="",0,YEAR(TbRegistroEntradas[[#This Row],[Data do Caixa Realizado]]))</f>
        <v>2019</v>
      </c>
      <c r="K186">
        <f>IF(TbRegistroEntradas[[#This Row],[Data da Competência]]="",0,MONTH(TbRegistroEntradas[[#This Row],[Data da Competência]]))</f>
        <v>2</v>
      </c>
      <c r="L186">
        <f>IF(TbRegistroEntradas[[#This Row],[Data da Competência]]="",0,YEAR(TbRegistroEntradas[[#This Row],[Data da Competência]]))</f>
        <v>2019</v>
      </c>
      <c r="M186">
        <f>IF(TbRegistroEntradas[[#This Row],[Data do Caixa Previsto]]="",0,MONTH(TbRegistroEntradas[[#This Row],[Data do Caixa Previsto]]))</f>
        <v>3</v>
      </c>
      <c r="N186">
        <f>IF(TbRegistroEntradas[[#This Row],[Data do Caixa Previsto]]="",0,YEAR(TbRegistroEntradas[[#This Row],[Data do Caixa Previsto]]))</f>
        <v>2019</v>
      </c>
      <c r="O186" t="str">
        <f ca="1">IF(AND(TbRegistroEntradas[[#This Row],[Data do Caixa Previsto]]&lt;TODAY(),TbRegistroEntradas[[#This Row],[Data do Caixa Realizado]]=""),"Vencida","Não Vencida")</f>
        <v>Não Vencida</v>
      </c>
      <c r="P186" t="str">
        <f>IF(TbRegistroEntradas[[#This Row],[Data da Competência]]=TbRegistroEntradas[[#This Row],[Data do Caixa Previsto]],"Vista","Prazo")</f>
        <v>Prazo</v>
      </c>
      <c r="Q18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87" spans="2:17" x14ac:dyDescent="0.25">
      <c r="B187" s="11">
        <v>43540</v>
      </c>
      <c r="C187" s="11">
        <v>43505</v>
      </c>
      <c r="D187" s="11">
        <v>43540</v>
      </c>
      <c r="E187" t="s">
        <v>24</v>
      </c>
      <c r="F187" t="s">
        <v>35</v>
      </c>
      <c r="G187" t="s">
        <v>241</v>
      </c>
      <c r="H187" s="114">
        <v>1117</v>
      </c>
      <c r="I187">
        <f>IF(TbRegistroEntradas[[#This Row],[Data do Caixa Realizado]]="",0,MONTH(TbRegistroEntradas[[#This Row],[Data do Caixa Realizado]]))</f>
        <v>3</v>
      </c>
      <c r="J187">
        <f>IF(TbRegistroEntradas[[#This Row],[Data do Caixa Realizado]]="",0,YEAR(TbRegistroEntradas[[#This Row],[Data do Caixa Realizado]]))</f>
        <v>2019</v>
      </c>
      <c r="K187">
        <f>IF(TbRegistroEntradas[[#This Row],[Data da Competência]]="",0,MONTH(TbRegistroEntradas[[#This Row],[Data da Competência]]))</f>
        <v>2</v>
      </c>
      <c r="L187">
        <f>IF(TbRegistroEntradas[[#This Row],[Data da Competência]]="",0,YEAR(TbRegistroEntradas[[#This Row],[Data da Competência]]))</f>
        <v>2019</v>
      </c>
      <c r="M187">
        <f>IF(TbRegistroEntradas[[#This Row],[Data do Caixa Previsto]]="",0,MONTH(TbRegistroEntradas[[#This Row],[Data do Caixa Previsto]]))</f>
        <v>3</v>
      </c>
      <c r="N187">
        <f>IF(TbRegistroEntradas[[#This Row],[Data do Caixa Previsto]]="",0,YEAR(TbRegistroEntradas[[#This Row],[Data do Caixa Previsto]]))</f>
        <v>2019</v>
      </c>
      <c r="O187" t="str">
        <f ca="1">IF(AND(TbRegistroEntradas[[#This Row],[Data do Caixa Previsto]]&lt;TODAY(),TbRegistroEntradas[[#This Row],[Data do Caixa Realizado]]=""),"Vencida","Não Vencida")</f>
        <v>Não Vencida</v>
      </c>
      <c r="P187" t="str">
        <f>IF(TbRegistroEntradas[[#This Row],[Data da Competência]]=TbRegistroEntradas[[#This Row],[Data do Caixa Previsto]],"Vista","Prazo")</f>
        <v>Prazo</v>
      </c>
      <c r="Q18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88" spans="2:17" x14ac:dyDescent="0.25">
      <c r="B188" s="11">
        <v>43541</v>
      </c>
      <c r="C188" s="11">
        <v>43506</v>
      </c>
      <c r="D188" s="11">
        <v>43541</v>
      </c>
      <c r="E188" t="s">
        <v>24</v>
      </c>
      <c r="F188" t="s">
        <v>31</v>
      </c>
      <c r="G188" t="s">
        <v>242</v>
      </c>
      <c r="H188" s="114">
        <v>4461</v>
      </c>
      <c r="I188">
        <f>IF(TbRegistroEntradas[[#This Row],[Data do Caixa Realizado]]="",0,MONTH(TbRegistroEntradas[[#This Row],[Data do Caixa Realizado]]))</f>
        <v>3</v>
      </c>
      <c r="J188">
        <f>IF(TbRegistroEntradas[[#This Row],[Data do Caixa Realizado]]="",0,YEAR(TbRegistroEntradas[[#This Row],[Data do Caixa Realizado]]))</f>
        <v>2019</v>
      </c>
      <c r="K188">
        <f>IF(TbRegistroEntradas[[#This Row],[Data da Competência]]="",0,MONTH(TbRegistroEntradas[[#This Row],[Data da Competência]]))</f>
        <v>2</v>
      </c>
      <c r="L188">
        <f>IF(TbRegistroEntradas[[#This Row],[Data da Competência]]="",0,YEAR(TbRegistroEntradas[[#This Row],[Data da Competência]]))</f>
        <v>2019</v>
      </c>
      <c r="M188">
        <f>IF(TbRegistroEntradas[[#This Row],[Data do Caixa Previsto]]="",0,MONTH(TbRegistroEntradas[[#This Row],[Data do Caixa Previsto]]))</f>
        <v>3</v>
      </c>
      <c r="N188">
        <f>IF(TbRegistroEntradas[[#This Row],[Data do Caixa Previsto]]="",0,YEAR(TbRegistroEntradas[[#This Row],[Data do Caixa Previsto]]))</f>
        <v>2019</v>
      </c>
      <c r="O188" t="str">
        <f ca="1">IF(AND(TbRegistroEntradas[[#This Row],[Data do Caixa Previsto]]&lt;TODAY(),TbRegistroEntradas[[#This Row],[Data do Caixa Realizado]]=""),"Vencida","Não Vencida")</f>
        <v>Não Vencida</v>
      </c>
      <c r="P188" t="str">
        <f>IF(TbRegistroEntradas[[#This Row],[Data da Competência]]=TbRegistroEntradas[[#This Row],[Data do Caixa Previsto]],"Vista","Prazo")</f>
        <v>Prazo</v>
      </c>
      <c r="Q18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89" spans="2:17" x14ac:dyDescent="0.25">
      <c r="B189" s="11">
        <v>43549</v>
      </c>
      <c r="C189" s="11">
        <v>43508</v>
      </c>
      <c r="D189" s="11">
        <v>43508</v>
      </c>
      <c r="E189" t="s">
        <v>24</v>
      </c>
      <c r="F189" t="s">
        <v>34</v>
      </c>
      <c r="G189" t="s">
        <v>243</v>
      </c>
      <c r="H189" s="114">
        <v>3732</v>
      </c>
      <c r="I189">
        <f>IF(TbRegistroEntradas[[#This Row],[Data do Caixa Realizado]]="",0,MONTH(TbRegistroEntradas[[#This Row],[Data do Caixa Realizado]]))</f>
        <v>3</v>
      </c>
      <c r="J189">
        <f>IF(TbRegistroEntradas[[#This Row],[Data do Caixa Realizado]]="",0,YEAR(TbRegistroEntradas[[#This Row],[Data do Caixa Realizado]]))</f>
        <v>2019</v>
      </c>
      <c r="K189">
        <f>IF(TbRegistroEntradas[[#This Row],[Data da Competência]]="",0,MONTH(TbRegistroEntradas[[#This Row],[Data da Competência]]))</f>
        <v>2</v>
      </c>
      <c r="L189">
        <f>IF(TbRegistroEntradas[[#This Row],[Data da Competência]]="",0,YEAR(TbRegistroEntradas[[#This Row],[Data da Competência]]))</f>
        <v>2019</v>
      </c>
      <c r="M189">
        <f>IF(TbRegistroEntradas[[#This Row],[Data do Caixa Previsto]]="",0,MONTH(TbRegistroEntradas[[#This Row],[Data do Caixa Previsto]]))</f>
        <v>2</v>
      </c>
      <c r="N189">
        <f>IF(TbRegistroEntradas[[#This Row],[Data do Caixa Previsto]]="",0,YEAR(TbRegistroEntradas[[#This Row],[Data do Caixa Previsto]]))</f>
        <v>2019</v>
      </c>
      <c r="O189" t="str">
        <f ca="1">IF(AND(TbRegistroEntradas[[#This Row],[Data do Caixa Previsto]]&lt;TODAY(),TbRegistroEntradas[[#This Row],[Data do Caixa Realizado]]=""),"Vencida","Não Vencida")</f>
        <v>Não Vencida</v>
      </c>
      <c r="P189" t="str">
        <f>IF(TbRegistroEntradas[[#This Row],[Data da Competência]]=TbRegistroEntradas[[#This Row],[Data do Caixa Previsto]],"Vista","Prazo")</f>
        <v>Vista</v>
      </c>
      <c r="Q18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41</v>
      </c>
    </row>
    <row r="190" spans="2:17" x14ac:dyDescent="0.25">
      <c r="B190" s="11">
        <v>43509</v>
      </c>
      <c r="C190" s="11">
        <v>43509</v>
      </c>
      <c r="D190" s="11">
        <v>43509</v>
      </c>
      <c r="E190" t="s">
        <v>24</v>
      </c>
      <c r="F190" t="s">
        <v>35</v>
      </c>
      <c r="G190" t="s">
        <v>244</v>
      </c>
      <c r="H190" s="114">
        <v>2024</v>
      </c>
      <c r="I190">
        <f>IF(TbRegistroEntradas[[#This Row],[Data do Caixa Realizado]]="",0,MONTH(TbRegistroEntradas[[#This Row],[Data do Caixa Realizado]]))</f>
        <v>2</v>
      </c>
      <c r="J190">
        <f>IF(TbRegistroEntradas[[#This Row],[Data do Caixa Realizado]]="",0,YEAR(TbRegistroEntradas[[#This Row],[Data do Caixa Realizado]]))</f>
        <v>2019</v>
      </c>
      <c r="K190">
        <f>IF(TbRegistroEntradas[[#This Row],[Data da Competência]]="",0,MONTH(TbRegistroEntradas[[#This Row],[Data da Competência]]))</f>
        <v>2</v>
      </c>
      <c r="L190">
        <f>IF(TbRegistroEntradas[[#This Row],[Data da Competência]]="",0,YEAR(TbRegistroEntradas[[#This Row],[Data da Competência]]))</f>
        <v>2019</v>
      </c>
      <c r="M190">
        <f>IF(TbRegistroEntradas[[#This Row],[Data do Caixa Previsto]]="",0,MONTH(TbRegistroEntradas[[#This Row],[Data do Caixa Previsto]]))</f>
        <v>2</v>
      </c>
      <c r="N190">
        <f>IF(TbRegistroEntradas[[#This Row],[Data do Caixa Previsto]]="",0,YEAR(TbRegistroEntradas[[#This Row],[Data do Caixa Previsto]]))</f>
        <v>2019</v>
      </c>
      <c r="O190" t="str">
        <f ca="1">IF(AND(TbRegistroEntradas[[#This Row],[Data do Caixa Previsto]]&lt;TODAY(),TbRegistroEntradas[[#This Row],[Data do Caixa Realizado]]=""),"Vencida","Não Vencida")</f>
        <v>Não Vencida</v>
      </c>
      <c r="P190" t="str">
        <f>IF(TbRegistroEntradas[[#This Row],[Data da Competência]]=TbRegistroEntradas[[#This Row],[Data do Caixa Previsto]],"Vista","Prazo")</f>
        <v>Vista</v>
      </c>
      <c r="Q19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91" spans="2:17" x14ac:dyDescent="0.25">
      <c r="B191" s="11">
        <v>43512</v>
      </c>
      <c r="C191" s="11">
        <v>43512</v>
      </c>
      <c r="D191" s="11">
        <v>43512</v>
      </c>
      <c r="E191" t="s">
        <v>24</v>
      </c>
      <c r="F191" t="s">
        <v>34</v>
      </c>
      <c r="G191" t="s">
        <v>245</v>
      </c>
      <c r="H191" s="114">
        <v>928</v>
      </c>
      <c r="I191">
        <f>IF(TbRegistroEntradas[[#This Row],[Data do Caixa Realizado]]="",0,MONTH(TbRegistroEntradas[[#This Row],[Data do Caixa Realizado]]))</f>
        <v>2</v>
      </c>
      <c r="J191">
        <f>IF(TbRegistroEntradas[[#This Row],[Data do Caixa Realizado]]="",0,YEAR(TbRegistroEntradas[[#This Row],[Data do Caixa Realizado]]))</f>
        <v>2019</v>
      </c>
      <c r="K191">
        <f>IF(TbRegistroEntradas[[#This Row],[Data da Competência]]="",0,MONTH(TbRegistroEntradas[[#This Row],[Data da Competência]]))</f>
        <v>2</v>
      </c>
      <c r="L191">
        <f>IF(TbRegistroEntradas[[#This Row],[Data da Competência]]="",0,YEAR(TbRegistroEntradas[[#This Row],[Data da Competência]]))</f>
        <v>2019</v>
      </c>
      <c r="M191">
        <f>IF(TbRegistroEntradas[[#This Row],[Data do Caixa Previsto]]="",0,MONTH(TbRegistroEntradas[[#This Row],[Data do Caixa Previsto]]))</f>
        <v>2</v>
      </c>
      <c r="N191">
        <f>IF(TbRegistroEntradas[[#This Row],[Data do Caixa Previsto]]="",0,YEAR(TbRegistroEntradas[[#This Row],[Data do Caixa Previsto]]))</f>
        <v>2019</v>
      </c>
      <c r="O191" t="str">
        <f ca="1">IF(AND(TbRegistroEntradas[[#This Row],[Data do Caixa Previsto]]&lt;TODAY(),TbRegistroEntradas[[#This Row],[Data do Caixa Realizado]]=""),"Vencida","Não Vencida")</f>
        <v>Não Vencida</v>
      </c>
      <c r="P191" t="str">
        <f>IF(TbRegistroEntradas[[#This Row],[Data da Competência]]=TbRegistroEntradas[[#This Row],[Data do Caixa Previsto]],"Vista","Prazo")</f>
        <v>Vista</v>
      </c>
      <c r="Q19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92" spans="2:17" x14ac:dyDescent="0.25">
      <c r="B192" s="11">
        <v>43533</v>
      </c>
      <c r="C192" s="11">
        <v>43513</v>
      </c>
      <c r="D192" s="11">
        <v>43513</v>
      </c>
      <c r="E192" t="s">
        <v>24</v>
      </c>
      <c r="F192" t="s">
        <v>34</v>
      </c>
      <c r="G192" t="s">
        <v>246</v>
      </c>
      <c r="H192" s="114">
        <v>3557</v>
      </c>
      <c r="I192">
        <f>IF(TbRegistroEntradas[[#This Row],[Data do Caixa Realizado]]="",0,MONTH(TbRegistroEntradas[[#This Row],[Data do Caixa Realizado]]))</f>
        <v>3</v>
      </c>
      <c r="J192">
        <f>IF(TbRegistroEntradas[[#This Row],[Data do Caixa Realizado]]="",0,YEAR(TbRegistroEntradas[[#This Row],[Data do Caixa Realizado]]))</f>
        <v>2019</v>
      </c>
      <c r="K192">
        <f>IF(TbRegistroEntradas[[#This Row],[Data da Competência]]="",0,MONTH(TbRegistroEntradas[[#This Row],[Data da Competência]]))</f>
        <v>2</v>
      </c>
      <c r="L192">
        <f>IF(TbRegistroEntradas[[#This Row],[Data da Competência]]="",0,YEAR(TbRegistroEntradas[[#This Row],[Data da Competência]]))</f>
        <v>2019</v>
      </c>
      <c r="M192">
        <f>IF(TbRegistroEntradas[[#This Row],[Data do Caixa Previsto]]="",0,MONTH(TbRegistroEntradas[[#This Row],[Data do Caixa Previsto]]))</f>
        <v>2</v>
      </c>
      <c r="N192">
        <f>IF(TbRegistroEntradas[[#This Row],[Data do Caixa Previsto]]="",0,YEAR(TbRegistroEntradas[[#This Row],[Data do Caixa Previsto]]))</f>
        <v>2019</v>
      </c>
      <c r="O192" t="str">
        <f ca="1">IF(AND(TbRegistroEntradas[[#This Row],[Data do Caixa Previsto]]&lt;TODAY(),TbRegistroEntradas[[#This Row],[Data do Caixa Realizado]]=""),"Vencida","Não Vencida")</f>
        <v>Não Vencida</v>
      </c>
      <c r="P192" t="str">
        <f>IF(TbRegistroEntradas[[#This Row],[Data da Competência]]=TbRegistroEntradas[[#This Row],[Data do Caixa Previsto]],"Vista","Prazo")</f>
        <v>Vista</v>
      </c>
      <c r="Q19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20</v>
      </c>
    </row>
    <row r="193" spans="2:17" x14ac:dyDescent="0.25">
      <c r="B193" s="11">
        <v>43540</v>
      </c>
      <c r="C193" s="11">
        <v>43514</v>
      </c>
      <c r="D193" s="11">
        <v>43540</v>
      </c>
      <c r="E193" t="s">
        <v>24</v>
      </c>
      <c r="F193" t="s">
        <v>35</v>
      </c>
      <c r="G193" t="s">
        <v>247</v>
      </c>
      <c r="H193" s="114">
        <v>741</v>
      </c>
      <c r="I193">
        <f>IF(TbRegistroEntradas[[#This Row],[Data do Caixa Realizado]]="",0,MONTH(TbRegistroEntradas[[#This Row],[Data do Caixa Realizado]]))</f>
        <v>3</v>
      </c>
      <c r="J193">
        <f>IF(TbRegistroEntradas[[#This Row],[Data do Caixa Realizado]]="",0,YEAR(TbRegistroEntradas[[#This Row],[Data do Caixa Realizado]]))</f>
        <v>2019</v>
      </c>
      <c r="K193">
        <f>IF(TbRegistroEntradas[[#This Row],[Data da Competência]]="",0,MONTH(TbRegistroEntradas[[#This Row],[Data da Competência]]))</f>
        <v>2</v>
      </c>
      <c r="L193">
        <f>IF(TbRegistroEntradas[[#This Row],[Data da Competência]]="",0,YEAR(TbRegistroEntradas[[#This Row],[Data da Competência]]))</f>
        <v>2019</v>
      </c>
      <c r="M193">
        <f>IF(TbRegistroEntradas[[#This Row],[Data do Caixa Previsto]]="",0,MONTH(TbRegistroEntradas[[#This Row],[Data do Caixa Previsto]]))</f>
        <v>3</v>
      </c>
      <c r="N193">
        <f>IF(TbRegistroEntradas[[#This Row],[Data do Caixa Previsto]]="",0,YEAR(TbRegistroEntradas[[#This Row],[Data do Caixa Previsto]]))</f>
        <v>2019</v>
      </c>
      <c r="O193" t="str">
        <f ca="1">IF(AND(TbRegistroEntradas[[#This Row],[Data do Caixa Previsto]]&lt;TODAY(),TbRegistroEntradas[[#This Row],[Data do Caixa Realizado]]=""),"Vencida","Não Vencida")</f>
        <v>Não Vencida</v>
      </c>
      <c r="P193" t="str">
        <f>IF(TbRegistroEntradas[[#This Row],[Data da Competência]]=TbRegistroEntradas[[#This Row],[Data do Caixa Previsto]],"Vista","Prazo")</f>
        <v>Prazo</v>
      </c>
      <c r="Q19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94" spans="2:17" x14ac:dyDescent="0.25">
      <c r="B194" s="11">
        <v>43548</v>
      </c>
      <c r="C194" s="11">
        <v>43517</v>
      </c>
      <c r="D194" s="11">
        <v>43548</v>
      </c>
      <c r="E194" t="s">
        <v>24</v>
      </c>
      <c r="F194" t="s">
        <v>35</v>
      </c>
      <c r="G194" t="s">
        <v>248</v>
      </c>
      <c r="H194" s="114">
        <v>850</v>
      </c>
      <c r="I194">
        <f>IF(TbRegistroEntradas[[#This Row],[Data do Caixa Realizado]]="",0,MONTH(TbRegistroEntradas[[#This Row],[Data do Caixa Realizado]]))</f>
        <v>3</v>
      </c>
      <c r="J194">
        <f>IF(TbRegistroEntradas[[#This Row],[Data do Caixa Realizado]]="",0,YEAR(TbRegistroEntradas[[#This Row],[Data do Caixa Realizado]]))</f>
        <v>2019</v>
      </c>
      <c r="K194">
        <f>IF(TbRegistroEntradas[[#This Row],[Data da Competência]]="",0,MONTH(TbRegistroEntradas[[#This Row],[Data da Competência]]))</f>
        <v>2</v>
      </c>
      <c r="L194">
        <f>IF(TbRegistroEntradas[[#This Row],[Data da Competência]]="",0,YEAR(TbRegistroEntradas[[#This Row],[Data da Competência]]))</f>
        <v>2019</v>
      </c>
      <c r="M194">
        <f>IF(TbRegistroEntradas[[#This Row],[Data do Caixa Previsto]]="",0,MONTH(TbRegistroEntradas[[#This Row],[Data do Caixa Previsto]]))</f>
        <v>3</v>
      </c>
      <c r="N194">
        <f>IF(TbRegistroEntradas[[#This Row],[Data do Caixa Previsto]]="",0,YEAR(TbRegistroEntradas[[#This Row],[Data do Caixa Previsto]]))</f>
        <v>2019</v>
      </c>
      <c r="O194" t="str">
        <f ca="1">IF(AND(TbRegistroEntradas[[#This Row],[Data do Caixa Previsto]]&lt;TODAY(),TbRegistroEntradas[[#This Row],[Data do Caixa Realizado]]=""),"Vencida","Não Vencida")</f>
        <v>Não Vencida</v>
      </c>
      <c r="P194" t="str">
        <f>IF(TbRegistroEntradas[[#This Row],[Data da Competência]]=TbRegistroEntradas[[#This Row],[Data do Caixa Previsto]],"Vista","Prazo")</f>
        <v>Prazo</v>
      </c>
      <c r="Q19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95" spans="2:17" x14ac:dyDescent="0.25">
      <c r="B195" s="11">
        <v>43522</v>
      </c>
      <c r="C195" s="11">
        <v>43522</v>
      </c>
      <c r="D195" s="11">
        <v>43522</v>
      </c>
      <c r="E195" t="s">
        <v>24</v>
      </c>
      <c r="F195" t="s">
        <v>34</v>
      </c>
      <c r="G195" t="s">
        <v>249</v>
      </c>
      <c r="H195" s="114">
        <v>4741</v>
      </c>
      <c r="I195">
        <f>IF(TbRegistroEntradas[[#This Row],[Data do Caixa Realizado]]="",0,MONTH(TbRegistroEntradas[[#This Row],[Data do Caixa Realizado]]))</f>
        <v>2</v>
      </c>
      <c r="J195">
        <f>IF(TbRegistroEntradas[[#This Row],[Data do Caixa Realizado]]="",0,YEAR(TbRegistroEntradas[[#This Row],[Data do Caixa Realizado]]))</f>
        <v>2019</v>
      </c>
      <c r="K195">
        <f>IF(TbRegistroEntradas[[#This Row],[Data da Competência]]="",0,MONTH(TbRegistroEntradas[[#This Row],[Data da Competência]]))</f>
        <v>2</v>
      </c>
      <c r="L195">
        <f>IF(TbRegistroEntradas[[#This Row],[Data da Competência]]="",0,YEAR(TbRegistroEntradas[[#This Row],[Data da Competência]]))</f>
        <v>2019</v>
      </c>
      <c r="M195">
        <f>IF(TbRegistroEntradas[[#This Row],[Data do Caixa Previsto]]="",0,MONTH(TbRegistroEntradas[[#This Row],[Data do Caixa Previsto]]))</f>
        <v>2</v>
      </c>
      <c r="N195">
        <f>IF(TbRegistroEntradas[[#This Row],[Data do Caixa Previsto]]="",0,YEAR(TbRegistroEntradas[[#This Row],[Data do Caixa Previsto]]))</f>
        <v>2019</v>
      </c>
      <c r="O195" t="str">
        <f ca="1">IF(AND(TbRegistroEntradas[[#This Row],[Data do Caixa Previsto]]&lt;TODAY(),TbRegistroEntradas[[#This Row],[Data do Caixa Realizado]]=""),"Vencida","Não Vencida")</f>
        <v>Não Vencida</v>
      </c>
      <c r="P195" t="str">
        <f>IF(TbRegistroEntradas[[#This Row],[Data da Competência]]=TbRegistroEntradas[[#This Row],[Data do Caixa Previsto]],"Vista","Prazo")</f>
        <v>Vista</v>
      </c>
      <c r="Q19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96" spans="2:17" x14ac:dyDescent="0.25">
      <c r="B196" s="11">
        <v>43525</v>
      </c>
      <c r="C196" s="11">
        <v>43525</v>
      </c>
      <c r="D196" s="11">
        <v>43525</v>
      </c>
      <c r="E196" t="s">
        <v>24</v>
      </c>
      <c r="F196" t="s">
        <v>32</v>
      </c>
      <c r="G196" t="s">
        <v>250</v>
      </c>
      <c r="H196" s="114">
        <v>471</v>
      </c>
      <c r="I196">
        <f>IF(TbRegistroEntradas[[#This Row],[Data do Caixa Realizado]]="",0,MONTH(TbRegistroEntradas[[#This Row],[Data do Caixa Realizado]]))</f>
        <v>3</v>
      </c>
      <c r="J196">
        <f>IF(TbRegistroEntradas[[#This Row],[Data do Caixa Realizado]]="",0,YEAR(TbRegistroEntradas[[#This Row],[Data do Caixa Realizado]]))</f>
        <v>2019</v>
      </c>
      <c r="K196">
        <f>IF(TbRegistroEntradas[[#This Row],[Data da Competência]]="",0,MONTH(TbRegistroEntradas[[#This Row],[Data da Competência]]))</f>
        <v>3</v>
      </c>
      <c r="L196">
        <f>IF(TbRegistroEntradas[[#This Row],[Data da Competência]]="",0,YEAR(TbRegistroEntradas[[#This Row],[Data da Competência]]))</f>
        <v>2019</v>
      </c>
      <c r="M196">
        <f>IF(TbRegistroEntradas[[#This Row],[Data do Caixa Previsto]]="",0,MONTH(TbRegistroEntradas[[#This Row],[Data do Caixa Previsto]]))</f>
        <v>3</v>
      </c>
      <c r="N196">
        <f>IF(TbRegistroEntradas[[#This Row],[Data do Caixa Previsto]]="",0,YEAR(TbRegistroEntradas[[#This Row],[Data do Caixa Previsto]]))</f>
        <v>2019</v>
      </c>
      <c r="O196" t="str">
        <f ca="1">IF(AND(TbRegistroEntradas[[#This Row],[Data do Caixa Previsto]]&lt;TODAY(),TbRegistroEntradas[[#This Row],[Data do Caixa Realizado]]=""),"Vencida","Não Vencida")</f>
        <v>Não Vencida</v>
      </c>
      <c r="P196" t="str">
        <f>IF(TbRegistroEntradas[[#This Row],[Data da Competência]]=TbRegistroEntradas[[#This Row],[Data do Caixa Previsto]],"Vista","Prazo")</f>
        <v>Vista</v>
      </c>
      <c r="Q19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97" spans="2:17" x14ac:dyDescent="0.25">
      <c r="B197" s="11">
        <v>43527</v>
      </c>
      <c r="C197" s="11">
        <v>43527</v>
      </c>
      <c r="D197" s="11">
        <v>43527</v>
      </c>
      <c r="E197" t="s">
        <v>24</v>
      </c>
      <c r="F197" t="s">
        <v>32</v>
      </c>
      <c r="G197" t="s">
        <v>251</v>
      </c>
      <c r="H197" s="114">
        <v>517</v>
      </c>
      <c r="I197">
        <f>IF(TbRegistroEntradas[[#This Row],[Data do Caixa Realizado]]="",0,MONTH(TbRegistroEntradas[[#This Row],[Data do Caixa Realizado]]))</f>
        <v>3</v>
      </c>
      <c r="J197">
        <f>IF(TbRegistroEntradas[[#This Row],[Data do Caixa Realizado]]="",0,YEAR(TbRegistroEntradas[[#This Row],[Data do Caixa Realizado]]))</f>
        <v>2019</v>
      </c>
      <c r="K197">
        <f>IF(TbRegistroEntradas[[#This Row],[Data da Competência]]="",0,MONTH(TbRegistroEntradas[[#This Row],[Data da Competência]]))</f>
        <v>3</v>
      </c>
      <c r="L197">
        <f>IF(TbRegistroEntradas[[#This Row],[Data da Competência]]="",0,YEAR(TbRegistroEntradas[[#This Row],[Data da Competência]]))</f>
        <v>2019</v>
      </c>
      <c r="M197">
        <f>IF(TbRegistroEntradas[[#This Row],[Data do Caixa Previsto]]="",0,MONTH(TbRegistroEntradas[[#This Row],[Data do Caixa Previsto]]))</f>
        <v>3</v>
      </c>
      <c r="N197">
        <f>IF(TbRegistroEntradas[[#This Row],[Data do Caixa Previsto]]="",0,YEAR(TbRegistroEntradas[[#This Row],[Data do Caixa Previsto]]))</f>
        <v>2019</v>
      </c>
      <c r="O197" t="str">
        <f ca="1">IF(AND(TbRegistroEntradas[[#This Row],[Data do Caixa Previsto]]&lt;TODAY(),TbRegistroEntradas[[#This Row],[Data do Caixa Realizado]]=""),"Vencida","Não Vencida")</f>
        <v>Não Vencida</v>
      </c>
      <c r="P197" t="str">
        <f>IF(TbRegistroEntradas[[#This Row],[Data da Competência]]=TbRegistroEntradas[[#This Row],[Data do Caixa Previsto]],"Vista","Prazo")</f>
        <v>Vista</v>
      </c>
      <c r="Q19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98" spans="2:17" x14ac:dyDescent="0.25">
      <c r="B198" s="11">
        <v>43563</v>
      </c>
      <c r="C198" s="11">
        <v>43534</v>
      </c>
      <c r="D198" s="11">
        <v>43563</v>
      </c>
      <c r="E198" t="s">
        <v>24</v>
      </c>
      <c r="F198" t="s">
        <v>32</v>
      </c>
      <c r="G198" t="s">
        <v>252</v>
      </c>
      <c r="H198" s="114">
        <v>3034</v>
      </c>
      <c r="I198">
        <f>IF(TbRegistroEntradas[[#This Row],[Data do Caixa Realizado]]="",0,MONTH(TbRegistroEntradas[[#This Row],[Data do Caixa Realizado]]))</f>
        <v>4</v>
      </c>
      <c r="J198">
        <f>IF(TbRegistroEntradas[[#This Row],[Data do Caixa Realizado]]="",0,YEAR(TbRegistroEntradas[[#This Row],[Data do Caixa Realizado]]))</f>
        <v>2019</v>
      </c>
      <c r="K198">
        <f>IF(TbRegistroEntradas[[#This Row],[Data da Competência]]="",0,MONTH(TbRegistroEntradas[[#This Row],[Data da Competência]]))</f>
        <v>3</v>
      </c>
      <c r="L198">
        <f>IF(TbRegistroEntradas[[#This Row],[Data da Competência]]="",0,YEAR(TbRegistroEntradas[[#This Row],[Data da Competência]]))</f>
        <v>2019</v>
      </c>
      <c r="M198">
        <f>IF(TbRegistroEntradas[[#This Row],[Data do Caixa Previsto]]="",0,MONTH(TbRegistroEntradas[[#This Row],[Data do Caixa Previsto]]))</f>
        <v>4</v>
      </c>
      <c r="N198">
        <f>IF(TbRegistroEntradas[[#This Row],[Data do Caixa Previsto]]="",0,YEAR(TbRegistroEntradas[[#This Row],[Data do Caixa Previsto]]))</f>
        <v>2019</v>
      </c>
      <c r="O198" t="str">
        <f ca="1">IF(AND(TbRegistroEntradas[[#This Row],[Data do Caixa Previsto]]&lt;TODAY(),TbRegistroEntradas[[#This Row],[Data do Caixa Realizado]]=""),"Vencida","Não Vencida")</f>
        <v>Não Vencida</v>
      </c>
      <c r="P198" t="str">
        <f>IF(TbRegistroEntradas[[#This Row],[Data da Competência]]=TbRegistroEntradas[[#This Row],[Data do Caixa Previsto]],"Vista","Prazo")</f>
        <v>Prazo</v>
      </c>
      <c r="Q19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199" spans="2:17" x14ac:dyDescent="0.25">
      <c r="B199" s="11">
        <v>43578</v>
      </c>
      <c r="C199" s="11">
        <v>43537</v>
      </c>
      <c r="D199" s="11">
        <v>43578</v>
      </c>
      <c r="E199" t="s">
        <v>24</v>
      </c>
      <c r="F199" t="s">
        <v>34</v>
      </c>
      <c r="G199" t="s">
        <v>253</v>
      </c>
      <c r="H199" s="114">
        <v>3172</v>
      </c>
      <c r="I199">
        <f>IF(TbRegistroEntradas[[#This Row],[Data do Caixa Realizado]]="",0,MONTH(TbRegistroEntradas[[#This Row],[Data do Caixa Realizado]]))</f>
        <v>4</v>
      </c>
      <c r="J199">
        <f>IF(TbRegistroEntradas[[#This Row],[Data do Caixa Realizado]]="",0,YEAR(TbRegistroEntradas[[#This Row],[Data do Caixa Realizado]]))</f>
        <v>2019</v>
      </c>
      <c r="K199">
        <f>IF(TbRegistroEntradas[[#This Row],[Data da Competência]]="",0,MONTH(TbRegistroEntradas[[#This Row],[Data da Competência]]))</f>
        <v>3</v>
      </c>
      <c r="L199">
        <f>IF(TbRegistroEntradas[[#This Row],[Data da Competência]]="",0,YEAR(TbRegistroEntradas[[#This Row],[Data da Competência]]))</f>
        <v>2019</v>
      </c>
      <c r="M199">
        <f>IF(TbRegistroEntradas[[#This Row],[Data do Caixa Previsto]]="",0,MONTH(TbRegistroEntradas[[#This Row],[Data do Caixa Previsto]]))</f>
        <v>4</v>
      </c>
      <c r="N199">
        <f>IF(TbRegistroEntradas[[#This Row],[Data do Caixa Previsto]]="",0,YEAR(TbRegistroEntradas[[#This Row],[Data do Caixa Previsto]]))</f>
        <v>2019</v>
      </c>
      <c r="O199" t="str">
        <f ca="1">IF(AND(TbRegistroEntradas[[#This Row],[Data do Caixa Previsto]]&lt;TODAY(),TbRegistroEntradas[[#This Row],[Data do Caixa Realizado]]=""),"Vencida","Não Vencida")</f>
        <v>Não Vencida</v>
      </c>
      <c r="P199" t="str">
        <f>IF(TbRegistroEntradas[[#This Row],[Data da Competência]]=TbRegistroEntradas[[#This Row],[Data do Caixa Previsto]],"Vista","Prazo")</f>
        <v>Prazo</v>
      </c>
      <c r="Q19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00" spans="2:17" x14ac:dyDescent="0.25">
      <c r="B200" s="11">
        <v>43543</v>
      </c>
      <c r="C200" s="11">
        <v>43543</v>
      </c>
      <c r="D200" s="11">
        <v>43543</v>
      </c>
      <c r="E200" t="s">
        <v>24</v>
      </c>
      <c r="F200" t="s">
        <v>33</v>
      </c>
      <c r="G200" t="s">
        <v>254</v>
      </c>
      <c r="H200" s="114">
        <v>2069</v>
      </c>
      <c r="I200">
        <f>IF(TbRegistroEntradas[[#This Row],[Data do Caixa Realizado]]="",0,MONTH(TbRegistroEntradas[[#This Row],[Data do Caixa Realizado]]))</f>
        <v>3</v>
      </c>
      <c r="J200">
        <f>IF(TbRegistroEntradas[[#This Row],[Data do Caixa Realizado]]="",0,YEAR(TbRegistroEntradas[[#This Row],[Data do Caixa Realizado]]))</f>
        <v>2019</v>
      </c>
      <c r="K200">
        <f>IF(TbRegistroEntradas[[#This Row],[Data da Competência]]="",0,MONTH(TbRegistroEntradas[[#This Row],[Data da Competência]]))</f>
        <v>3</v>
      </c>
      <c r="L200">
        <f>IF(TbRegistroEntradas[[#This Row],[Data da Competência]]="",0,YEAR(TbRegistroEntradas[[#This Row],[Data da Competência]]))</f>
        <v>2019</v>
      </c>
      <c r="M200">
        <f>IF(TbRegistroEntradas[[#This Row],[Data do Caixa Previsto]]="",0,MONTH(TbRegistroEntradas[[#This Row],[Data do Caixa Previsto]]))</f>
        <v>3</v>
      </c>
      <c r="N200">
        <f>IF(TbRegistroEntradas[[#This Row],[Data do Caixa Previsto]]="",0,YEAR(TbRegistroEntradas[[#This Row],[Data do Caixa Previsto]]))</f>
        <v>2019</v>
      </c>
      <c r="O200" t="str">
        <f ca="1">IF(AND(TbRegistroEntradas[[#This Row],[Data do Caixa Previsto]]&lt;TODAY(),TbRegistroEntradas[[#This Row],[Data do Caixa Realizado]]=""),"Vencida","Não Vencida")</f>
        <v>Não Vencida</v>
      </c>
      <c r="P200" t="str">
        <f>IF(TbRegistroEntradas[[#This Row],[Data da Competência]]=TbRegistroEntradas[[#This Row],[Data do Caixa Previsto]],"Vista","Prazo")</f>
        <v>Vista</v>
      </c>
      <c r="Q20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01" spans="2:17" x14ac:dyDescent="0.25">
      <c r="B201" s="11">
        <v>43545</v>
      </c>
      <c r="C201" s="11">
        <v>43545</v>
      </c>
      <c r="D201" s="11">
        <v>43545</v>
      </c>
      <c r="E201" t="s">
        <v>24</v>
      </c>
      <c r="F201" t="s">
        <v>33</v>
      </c>
      <c r="G201" t="s">
        <v>255</v>
      </c>
      <c r="H201" s="114">
        <v>3849</v>
      </c>
      <c r="I201">
        <f>IF(TbRegistroEntradas[[#This Row],[Data do Caixa Realizado]]="",0,MONTH(TbRegistroEntradas[[#This Row],[Data do Caixa Realizado]]))</f>
        <v>3</v>
      </c>
      <c r="J201">
        <f>IF(TbRegistroEntradas[[#This Row],[Data do Caixa Realizado]]="",0,YEAR(TbRegistroEntradas[[#This Row],[Data do Caixa Realizado]]))</f>
        <v>2019</v>
      </c>
      <c r="K201">
        <f>IF(TbRegistroEntradas[[#This Row],[Data da Competência]]="",0,MONTH(TbRegistroEntradas[[#This Row],[Data da Competência]]))</f>
        <v>3</v>
      </c>
      <c r="L201">
        <f>IF(TbRegistroEntradas[[#This Row],[Data da Competência]]="",0,YEAR(TbRegistroEntradas[[#This Row],[Data da Competência]]))</f>
        <v>2019</v>
      </c>
      <c r="M201">
        <f>IF(TbRegistroEntradas[[#This Row],[Data do Caixa Previsto]]="",0,MONTH(TbRegistroEntradas[[#This Row],[Data do Caixa Previsto]]))</f>
        <v>3</v>
      </c>
      <c r="N201">
        <f>IF(TbRegistroEntradas[[#This Row],[Data do Caixa Previsto]]="",0,YEAR(TbRegistroEntradas[[#This Row],[Data do Caixa Previsto]]))</f>
        <v>2019</v>
      </c>
      <c r="O201" t="str">
        <f ca="1">IF(AND(TbRegistroEntradas[[#This Row],[Data do Caixa Previsto]]&lt;TODAY(),TbRegistroEntradas[[#This Row],[Data do Caixa Realizado]]=""),"Vencida","Não Vencida")</f>
        <v>Não Vencida</v>
      </c>
      <c r="P201" t="str">
        <f>IF(TbRegistroEntradas[[#This Row],[Data da Competência]]=TbRegistroEntradas[[#This Row],[Data do Caixa Previsto]],"Vista","Prazo")</f>
        <v>Vista</v>
      </c>
      <c r="Q20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02" spans="2:17" x14ac:dyDescent="0.25">
      <c r="B202" s="11" t="s">
        <v>68</v>
      </c>
      <c r="C202" s="11">
        <v>43551</v>
      </c>
      <c r="D202" s="11">
        <v>43586</v>
      </c>
      <c r="E202" t="s">
        <v>24</v>
      </c>
      <c r="F202" t="s">
        <v>35</v>
      </c>
      <c r="G202" t="s">
        <v>256</v>
      </c>
      <c r="H202" s="114">
        <v>4141</v>
      </c>
      <c r="I202">
        <f>IF(TbRegistroEntradas[[#This Row],[Data do Caixa Realizado]]="",0,MONTH(TbRegistroEntradas[[#This Row],[Data do Caixa Realizado]]))</f>
        <v>0</v>
      </c>
      <c r="J202">
        <f>IF(TbRegistroEntradas[[#This Row],[Data do Caixa Realizado]]="",0,YEAR(TbRegistroEntradas[[#This Row],[Data do Caixa Realizado]]))</f>
        <v>0</v>
      </c>
      <c r="K202">
        <f>IF(TbRegistroEntradas[[#This Row],[Data da Competência]]="",0,MONTH(TbRegistroEntradas[[#This Row],[Data da Competência]]))</f>
        <v>3</v>
      </c>
      <c r="L202">
        <f>IF(TbRegistroEntradas[[#This Row],[Data da Competência]]="",0,YEAR(TbRegistroEntradas[[#This Row],[Data da Competência]]))</f>
        <v>2019</v>
      </c>
      <c r="M202">
        <f>IF(TbRegistroEntradas[[#This Row],[Data do Caixa Previsto]]="",0,MONTH(TbRegistroEntradas[[#This Row],[Data do Caixa Previsto]]))</f>
        <v>5</v>
      </c>
      <c r="N202">
        <f>IF(TbRegistroEntradas[[#This Row],[Data do Caixa Previsto]]="",0,YEAR(TbRegistroEntradas[[#This Row],[Data do Caixa Previsto]]))</f>
        <v>2019</v>
      </c>
      <c r="O202" t="str">
        <f ca="1">IF(AND(TbRegistroEntradas[[#This Row],[Data do Caixa Previsto]]&lt;TODAY(),TbRegistroEntradas[[#This Row],[Data do Caixa Realizado]]=""),"Vencida","Não Vencida")</f>
        <v>Vencida</v>
      </c>
      <c r="P202" t="str">
        <f>IF(TbRegistroEntradas[[#This Row],[Data da Competência]]=TbRegistroEntradas[[#This Row],[Data do Caixa Previsto]],"Vista","Prazo")</f>
        <v>Prazo</v>
      </c>
      <c r="Q20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1767</v>
      </c>
    </row>
    <row r="203" spans="2:17" x14ac:dyDescent="0.25">
      <c r="B203" s="11">
        <v>43643</v>
      </c>
      <c r="C203" s="11">
        <v>43552</v>
      </c>
      <c r="D203" s="11">
        <v>43586</v>
      </c>
      <c r="E203" t="s">
        <v>24</v>
      </c>
      <c r="F203" t="s">
        <v>35</v>
      </c>
      <c r="G203" t="s">
        <v>257</v>
      </c>
      <c r="H203" s="114">
        <v>1348</v>
      </c>
      <c r="I203">
        <f>IF(TbRegistroEntradas[[#This Row],[Data do Caixa Realizado]]="",0,MONTH(TbRegistroEntradas[[#This Row],[Data do Caixa Realizado]]))</f>
        <v>6</v>
      </c>
      <c r="J203">
        <f>IF(TbRegistroEntradas[[#This Row],[Data do Caixa Realizado]]="",0,YEAR(TbRegistroEntradas[[#This Row],[Data do Caixa Realizado]]))</f>
        <v>2019</v>
      </c>
      <c r="K203">
        <f>IF(TbRegistroEntradas[[#This Row],[Data da Competência]]="",0,MONTH(TbRegistroEntradas[[#This Row],[Data da Competência]]))</f>
        <v>3</v>
      </c>
      <c r="L203">
        <f>IF(TbRegistroEntradas[[#This Row],[Data da Competência]]="",0,YEAR(TbRegistroEntradas[[#This Row],[Data da Competência]]))</f>
        <v>2019</v>
      </c>
      <c r="M203">
        <f>IF(TbRegistroEntradas[[#This Row],[Data do Caixa Previsto]]="",0,MONTH(TbRegistroEntradas[[#This Row],[Data do Caixa Previsto]]))</f>
        <v>5</v>
      </c>
      <c r="N203">
        <f>IF(TbRegistroEntradas[[#This Row],[Data do Caixa Previsto]]="",0,YEAR(TbRegistroEntradas[[#This Row],[Data do Caixa Previsto]]))</f>
        <v>2019</v>
      </c>
      <c r="O203" t="str">
        <f ca="1">IF(AND(TbRegistroEntradas[[#This Row],[Data do Caixa Previsto]]&lt;TODAY(),TbRegistroEntradas[[#This Row],[Data do Caixa Realizado]]=""),"Vencida","Não Vencida")</f>
        <v>Não Vencida</v>
      </c>
      <c r="P203" t="str">
        <f>IF(TbRegistroEntradas[[#This Row],[Data da Competência]]=TbRegistroEntradas[[#This Row],[Data do Caixa Previsto]],"Vista","Prazo")</f>
        <v>Prazo</v>
      </c>
      <c r="Q20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57</v>
      </c>
    </row>
    <row r="204" spans="2:17" x14ac:dyDescent="0.25">
      <c r="B204" s="11">
        <v>43558</v>
      </c>
      <c r="C204" s="11">
        <v>43558</v>
      </c>
      <c r="D204" s="11">
        <v>43558</v>
      </c>
      <c r="E204" t="s">
        <v>24</v>
      </c>
      <c r="F204" t="s">
        <v>34</v>
      </c>
      <c r="G204" t="s">
        <v>258</v>
      </c>
      <c r="H204" s="114">
        <v>1738</v>
      </c>
      <c r="I204">
        <f>IF(TbRegistroEntradas[[#This Row],[Data do Caixa Realizado]]="",0,MONTH(TbRegistroEntradas[[#This Row],[Data do Caixa Realizado]]))</f>
        <v>4</v>
      </c>
      <c r="J204">
        <f>IF(TbRegistroEntradas[[#This Row],[Data do Caixa Realizado]]="",0,YEAR(TbRegistroEntradas[[#This Row],[Data do Caixa Realizado]]))</f>
        <v>2019</v>
      </c>
      <c r="K204">
        <f>IF(TbRegistroEntradas[[#This Row],[Data da Competência]]="",0,MONTH(TbRegistroEntradas[[#This Row],[Data da Competência]]))</f>
        <v>4</v>
      </c>
      <c r="L204">
        <f>IF(TbRegistroEntradas[[#This Row],[Data da Competência]]="",0,YEAR(TbRegistroEntradas[[#This Row],[Data da Competência]]))</f>
        <v>2019</v>
      </c>
      <c r="M204">
        <f>IF(TbRegistroEntradas[[#This Row],[Data do Caixa Previsto]]="",0,MONTH(TbRegistroEntradas[[#This Row],[Data do Caixa Previsto]]))</f>
        <v>4</v>
      </c>
      <c r="N204">
        <f>IF(TbRegistroEntradas[[#This Row],[Data do Caixa Previsto]]="",0,YEAR(TbRegistroEntradas[[#This Row],[Data do Caixa Previsto]]))</f>
        <v>2019</v>
      </c>
      <c r="O204" t="str">
        <f ca="1">IF(AND(TbRegistroEntradas[[#This Row],[Data do Caixa Previsto]]&lt;TODAY(),TbRegistroEntradas[[#This Row],[Data do Caixa Realizado]]=""),"Vencida","Não Vencida")</f>
        <v>Não Vencida</v>
      </c>
      <c r="P204" t="str">
        <f>IF(TbRegistroEntradas[[#This Row],[Data da Competência]]=TbRegistroEntradas[[#This Row],[Data do Caixa Previsto]],"Vista","Prazo")</f>
        <v>Vista</v>
      </c>
      <c r="Q20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05" spans="2:17" x14ac:dyDescent="0.25">
      <c r="B205" s="11">
        <v>43561</v>
      </c>
      <c r="C205" s="11">
        <v>43561</v>
      </c>
      <c r="D205" s="11">
        <v>43561</v>
      </c>
      <c r="E205" t="s">
        <v>24</v>
      </c>
      <c r="F205" t="s">
        <v>34</v>
      </c>
      <c r="G205" t="s">
        <v>259</v>
      </c>
      <c r="H205" s="114">
        <v>732</v>
      </c>
      <c r="I205">
        <f>IF(TbRegistroEntradas[[#This Row],[Data do Caixa Realizado]]="",0,MONTH(TbRegistroEntradas[[#This Row],[Data do Caixa Realizado]]))</f>
        <v>4</v>
      </c>
      <c r="J205">
        <f>IF(TbRegistroEntradas[[#This Row],[Data do Caixa Realizado]]="",0,YEAR(TbRegistroEntradas[[#This Row],[Data do Caixa Realizado]]))</f>
        <v>2019</v>
      </c>
      <c r="K205">
        <f>IF(TbRegistroEntradas[[#This Row],[Data da Competência]]="",0,MONTH(TbRegistroEntradas[[#This Row],[Data da Competência]]))</f>
        <v>4</v>
      </c>
      <c r="L205">
        <f>IF(TbRegistroEntradas[[#This Row],[Data da Competência]]="",0,YEAR(TbRegistroEntradas[[#This Row],[Data da Competência]]))</f>
        <v>2019</v>
      </c>
      <c r="M205">
        <f>IF(TbRegistroEntradas[[#This Row],[Data do Caixa Previsto]]="",0,MONTH(TbRegistroEntradas[[#This Row],[Data do Caixa Previsto]]))</f>
        <v>4</v>
      </c>
      <c r="N205">
        <f>IF(TbRegistroEntradas[[#This Row],[Data do Caixa Previsto]]="",0,YEAR(TbRegistroEntradas[[#This Row],[Data do Caixa Previsto]]))</f>
        <v>2019</v>
      </c>
      <c r="O205" t="str">
        <f ca="1">IF(AND(TbRegistroEntradas[[#This Row],[Data do Caixa Previsto]]&lt;TODAY(),TbRegistroEntradas[[#This Row],[Data do Caixa Realizado]]=""),"Vencida","Não Vencida")</f>
        <v>Não Vencida</v>
      </c>
      <c r="P205" t="str">
        <f>IF(TbRegistroEntradas[[#This Row],[Data da Competência]]=TbRegistroEntradas[[#This Row],[Data do Caixa Previsto]],"Vista","Prazo")</f>
        <v>Vista</v>
      </c>
      <c r="Q20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06" spans="2:17" x14ac:dyDescent="0.25">
      <c r="B206" s="11">
        <v>43625</v>
      </c>
      <c r="C206" s="11">
        <v>43562</v>
      </c>
      <c r="D206" s="11">
        <v>43586</v>
      </c>
      <c r="E206" t="s">
        <v>24</v>
      </c>
      <c r="F206" t="s">
        <v>35</v>
      </c>
      <c r="G206" t="s">
        <v>260</v>
      </c>
      <c r="H206" s="114">
        <v>373</v>
      </c>
      <c r="I206">
        <f>IF(TbRegistroEntradas[[#This Row],[Data do Caixa Realizado]]="",0,MONTH(TbRegistroEntradas[[#This Row],[Data do Caixa Realizado]]))</f>
        <v>6</v>
      </c>
      <c r="J206">
        <f>IF(TbRegistroEntradas[[#This Row],[Data do Caixa Realizado]]="",0,YEAR(TbRegistroEntradas[[#This Row],[Data do Caixa Realizado]]))</f>
        <v>2019</v>
      </c>
      <c r="K206">
        <f>IF(TbRegistroEntradas[[#This Row],[Data da Competência]]="",0,MONTH(TbRegistroEntradas[[#This Row],[Data da Competência]]))</f>
        <v>4</v>
      </c>
      <c r="L206">
        <f>IF(TbRegistroEntradas[[#This Row],[Data da Competência]]="",0,YEAR(TbRegistroEntradas[[#This Row],[Data da Competência]]))</f>
        <v>2019</v>
      </c>
      <c r="M206">
        <f>IF(TbRegistroEntradas[[#This Row],[Data do Caixa Previsto]]="",0,MONTH(TbRegistroEntradas[[#This Row],[Data do Caixa Previsto]]))</f>
        <v>5</v>
      </c>
      <c r="N206">
        <f>IF(TbRegistroEntradas[[#This Row],[Data do Caixa Previsto]]="",0,YEAR(TbRegistroEntradas[[#This Row],[Data do Caixa Previsto]]))</f>
        <v>2019</v>
      </c>
      <c r="O206" t="str">
        <f ca="1">IF(AND(TbRegistroEntradas[[#This Row],[Data do Caixa Previsto]]&lt;TODAY(),TbRegistroEntradas[[#This Row],[Data do Caixa Realizado]]=""),"Vencida","Não Vencida")</f>
        <v>Não Vencida</v>
      </c>
      <c r="P206" t="str">
        <f>IF(TbRegistroEntradas[[#This Row],[Data da Competência]]=TbRegistroEntradas[[#This Row],[Data do Caixa Previsto]],"Vista","Prazo")</f>
        <v>Prazo</v>
      </c>
      <c r="Q20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39</v>
      </c>
    </row>
    <row r="207" spans="2:17" x14ac:dyDescent="0.25">
      <c r="B207" s="11">
        <v>43609</v>
      </c>
      <c r="C207" s="11">
        <v>43564</v>
      </c>
      <c r="D207" s="11">
        <v>43609</v>
      </c>
      <c r="E207" t="s">
        <v>24</v>
      </c>
      <c r="F207" t="s">
        <v>32</v>
      </c>
      <c r="G207" t="s">
        <v>261</v>
      </c>
      <c r="H207" s="114">
        <v>609</v>
      </c>
      <c r="I207">
        <f>IF(TbRegistroEntradas[[#This Row],[Data do Caixa Realizado]]="",0,MONTH(TbRegistroEntradas[[#This Row],[Data do Caixa Realizado]]))</f>
        <v>5</v>
      </c>
      <c r="J207">
        <f>IF(TbRegistroEntradas[[#This Row],[Data do Caixa Realizado]]="",0,YEAR(TbRegistroEntradas[[#This Row],[Data do Caixa Realizado]]))</f>
        <v>2019</v>
      </c>
      <c r="K207">
        <f>IF(TbRegistroEntradas[[#This Row],[Data da Competência]]="",0,MONTH(TbRegistroEntradas[[#This Row],[Data da Competência]]))</f>
        <v>4</v>
      </c>
      <c r="L207">
        <f>IF(TbRegistroEntradas[[#This Row],[Data da Competência]]="",0,YEAR(TbRegistroEntradas[[#This Row],[Data da Competência]]))</f>
        <v>2019</v>
      </c>
      <c r="M207">
        <f>IF(TbRegistroEntradas[[#This Row],[Data do Caixa Previsto]]="",0,MONTH(TbRegistroEntradas[[#This Row],[Data do Caixa Previsto]]))</f>
        <v>5</v>
      </c>
      <c r="N207">
        <f>IF(TbRegistroEntradas[[#This Row],[Data do Caixa Previsto]]="",0,YEAR(TbRegistroEntradas[[#This Row],[Data do Caixa Previsto]]))</f>
        <v>2019</v>
      </c>
      <c r="O207" t="str">
        <f ca="1">IF(AND(TbRegistroEntradas[[#This Row],[Data do Caixa Previsto]]&lt;TODAY(),TbRegistroEntradas[[#This Row],[Data do Caixa Realizado]]=""),"Vencida","Não Vencida")</f>
        <v>Não Vencida</v>
      </c>
      <c r="P207" t="str">
        <f>IF(TbRegistroEntradas[[#This Row],[Data da Competência]]=TbRegistroEntradas[[#This Row],[Data do Caixa Previsto]],"Vista","Prazo")</f>
        <v>Prazo</v>
      </c>
      <c r="Q20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08" spans="2:17" x14ac:dyDescent="0.25">
      <c r="B208" s="11">
        <v>43615</v>
      </c>
      <c r="C208" s="11">
        <v>43567</v>
      </c>
      <c r="D208" s="11">
        <v>43615</v>
      </c>
      <c r="E208" t="s">
        <v>24</v>
      </c>
      <c r="F208" t="s">
        <v>34</v>
      </c>
      <c r="G208" t="s">
        <v>262</v>
      </c>
      <c r="H208" s="114">
        <v>2883</v>
      </c>
      <c r="I208">
        <f>IF(TbRegistroEntradas[[#This Row],[Data do Caixa Realizado]]="",0,MONTH(TbRegistroEntradas[[#This Row],[Data do Caixa Realizado]]))</f>
        <v>5</v>
      </c>
      <c r="J208">
        <f>IF(TbRegistroEntradas[[#This Row],[Data do Caixa Realizado]]="",0,YEAR(TbRegistroEntradas[[#This Row],[Data do Caixa Realizado]]))</f>
        <v>2019</v>
      </c>
      <c r="K208">
        <f>IF(TbRegistroEntradas[[#This Row],[Data da Competência]]="",0,MONTH(TbRegistroEntradas[[#This Row],[Data da Competência]]))</f>
        <v>4</v>
      </c>
      <c r="L208">
        <f>IF(TbRegistroEntradas[[#This Row],[Data da Competência]]="",0,YEAR(TbRegistroEntradas[[#This Row],[Data da Competência]]))</f>
        <v>2019</v>
      </c>
      <c r="M208">
        <f>IF(TbRegistroEntradas[[#This Row],[Data do Caixa Previsto]]="",0,MONTH(TbRegistroEntradas[[#This Row],[Data do Caixa Previsto]]))</f>
        <v>5</v>
      </c>
      <c r="N208">
        <f>IF(TbRegistroEntradas[[#This Row],[Data do Caixa Previsto]]="",0,YEAR(TbRegistroEntradas[[#This Row],[Data do Caixa Previsto]]))</f>
        <v>2019</v>
      </c>
      <c r="O208" t="str">
        <f ca="1">IF(AND(TbRegistroEntradas[[#This Row],[Data do Caixa Previsto]]&lt;TODAY(),TbRegistroEntradas[[#This Row],[Data do Caixa Realizado]]=""),"Vencida","Não Vencida")</f>
        <v>Não Vencida</v>
      </c>
      <c r="P208" t="str">
        <f>IF(TbRegistroEntradas[[#This Row],[Data da Competência]]=TbRegistroEntradas[[#This Row],[Data do Caixa Previsto]],"Vista","Prazo")</f>
        <v>Prazo</v>
      </c>
      <c r="Q20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09" spans="2:17" x14ac:dyDescent="0.25">
      <c r="B209" s="11">
        <v>43569</v>
      </c>
      <c r="C209" s="11">
        <v>43569</v>
      </c>
      <c r="D209" s="11">
        <v>43569</v>
      </c>
      <c r="E209" t="s">
        <v>24</v>
      </c>
      <c r="F209" t="s">
        <v>32</v>
      </c>
      <c r="G209" t="s">
        <v>263</v>
      </c>
      <c r="H209" s="114">
        <v>4651</v>
      </c>
      <c r="I209">
        <f>IF(TbRegistroEntradas[[#This Row],[Data do Caixa Realizado]]="",0,MONTH(TbRegistroEntradas[[#This Row],[Data do Caixa Realizado]]))</f>
        <v>4</v>
      </c>
      <c r="J209">
        <f>IF(TbRegistroEntradas[[#This Row],[Data do Caixa Realizado]]="",0,YEAR(TbRegistroEntradas[[#This Row],[Data do Caixa Realizado]]))</f>
        <v>2019</v>
      </c>
      <c r="K209">
        <f>IF(TbRegistroEntradas[[#This Row],[Data da Competência]]="",0,MONTH(TbRegistroEntradas[[#This Row],[Data da Competência]]))</f>
        <v>4</v>
      </c>
      <c r="L209">
        <f>IF(TbRegistroEntradas[[#This Row],[Data da Competência]]="",0,YEAR(TbRegistroEntradas[[#This Row],[Data da Competência]]))</f>
        <v>2019</v>
      </c>
      <c r="M209">
        <f>IF(TbRegistroEntradas[[#This Row],[Data do Caixa Previsto]]="",0,MONTH(TbRegistroEntradas[[#This Row],[Data do Caixa Previsto]]))</f>
        <v>4</v>
      </c>
      <c r="N209">
        <f>IF(TbRegistroEntradas[[#This Row],[Data do Caixa Previsto]]="",0,YEAR(TbRegistroEntradas[[#This Row],[Data do Caixa Previsto]]))</f>
        <v>2019</v>
      </c>
      <c r="O209" t="str">
        <f ca="1">IF(AND(TbRegistroEntradas[[#This Row],[Data do Caixa Previsto]]&lt;TODAY(),TbRegistroEntradas[[#This Row],[Data do Caixa Realizado]]=""),"Vencida","Não Vencida")</f>
        <v>Não Vencida</v>
      </c>
      <c r="P209" t="str">
        <f>IF(TbRegistroEntradas[[#This Row],[Data da Competência]]=TbRegistroEntradas[[#This Row],[Data do Caixa Previsto]],"Vista","Prazo")</f>
        <v>Vista</v>
      </c>
      <c r="Q20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10" spans="2:17" x14ac:dyDescent="0.25">
      <c r="B210" s="11" t="s">
        <v>68</v>
      </c>
      <c r="C210" s="11">
        <v>43573</v>
      </c>
      <c r="D210" s="11">
        <v>43579</v>
      </c>
      <c r="E210" t="s">
        <v>24</v>
      </c>
      <c r="F210" t="s">
        <v>32</v>
      </c>
      <c r="G210" t="s">
        <v>264</v>
      </c>
      <c r="H210" s="114">
        <v>4797</v>
      </c>
      <c r="I210">
        <f>IF(TbRegistroEntradas[[#This Row],[Data do Caixa Realizado]]="",0,MONTH(TbRegistroEntradas[[#This Row],[Data do Caixa Realizado]]))</f>
        <v>0</v>
      </c>
      <c r="J210">
        <f>IF(TbRegistroEntradas[[#This Row],[Data do Caixa Realizado]]="",0,YEAR(TbRegistroEntradas[[#This Row],[Data do Caixa Realizado]]))</f>
        <v>0</v>
      </c>
      <c r="K210">
        <f>IF(TbRegistroEntradas[[#This Row],[Data da Competência]]="",0,MONTH(TbRegistroEntradas[[#This Row],[Data da Competência]]))</f>
        <v>4</v>
      </c>
      <c r="L210">
        <f>IF(TbRegistroEntradas[[#This Row],[Data da Competência]]="",0,YEAR(TbRegistroEntradas[[#This Row],[Data da Competência]]))</f>
        <v>2019</v>
      </c>
      <c r="M210">
        <f>IF(TbRegistroEntradas[[#This Row],[Data do Caixa Previsto]]="",0,MONTH(TbRegistroEntradas[[#This Row],[Data do Caixa Previsto]]))</f>
        <v>4</v>
      </c>
      <c r="N210">
        <f>IF(TbRegistroEntradas[[#This Row],[Data do Caixa Previsto]]="",0,YEAR(TbRegistroEntradas[[#This Row],[Data do Caixa Previsto]]))</f>
        <v>2019</v>
      </c>
      <c r="O210" t="str">
        <f ca="1">IF(AND(TbRegistroEntradas[[#This Row],[Data do Caixa Previsto]]&lt;TODAY(),TbRegistroEntradas[[#This Row],[Data do Caixa Realizado]]=""),"Vencida","Não Vencida")</f>
        <v>Vencida</v>
      </c>
      <c r="P210" t="str">
        <f>IF(TbRegistroEntradas[[#This Row],[Data da Competência]]=TbRegistroEntradas[[#This Row],[Data do Caixa Previsto]],"Vista","Prazo")</f>
        <v>Prazo</v>
      </c>
      <c r="Q21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1774</v>
      </c>
    </row>
    <row r="211" spans="2:17" x14ac:dyDescent="0.25">
      <c r="B211" s="11">
        <v>43598</v>
      </c>
      <c r="C211" s="11">
        <v>43575</v>
      </c>
      <c r="D211" s="11">
        <v>43598</v>
      </c>
      <c r="E211" t="s">
        <v>24</v>
      </c>
      <c r="F211" t="s">
        <v>33</v>
      </c>
      <c r="G211" t="s">
        <v>265</v>
      </c>
      <c r="H211" s="114">
        <v>1620</v>
      </c>
      <c r="I211">
        <f>IF(TbRegistroEntradas[[#This Row],[Data do Caixa Realizado]]="",0,MONTH(TbRegistroEntradas[[#This Row],[Data do Caixa Realizado]]))</f>
        <v>5</v>
      </c>
      <c r="J211">
        <f>IF(TbRegistroEntradas[[#This Row],[Data do Caixa Realizado]]="",0,YEAR(TbRegistroEntradas[[#This Row],[Data do Caixa Realizado]]))</f>
        <v>2019</v>
      </c>
      <c r="K211">
        <f>IF(TbRegistroEntradas[[#This Row],[Data da Competência]]="",0,MONTH(TbRegistroEntradas[[#This Row],[Data da Competência]]))</f>
        <v>4</v>
      </c>
      <c r="L211">
        <f>IF(TbRegistroEntradas[[#This Row],[Data da Competência]]="",0,YEAR(TbRegistroEntradas[[#This Row],[Data da Competência]]))</f>
        <v>2019</v>
      </c>
      <c r="M211">
        <f>IF(TbRegistroEntradas[[#This Row],[Data do Caixa Previsto]]="",0,MONTH(TbRegistroEntradas[[#This Row],[Data do Caixa Previsto]]))</f>
        <v>5</v>
      </c>
      <c r="N211">
        <f>IF(TbRegistroEntradas[[#This Row],[Data do Caixa Previsto]]="",0,YEAR(TbRegistroEntradas[[#This Row],[Data do Caixa Previsto]]))</f>
        <v>2019</v>
      </c>
      <c r="O211" t="str">
        <f ca="1">IF(AND(TbRegistroEntradas[[#This Row],[Data do Caixa Previsto]]&lt;TODAY(),TbRegistroEntradas[[#This Row],[Data do Caixa Realizado]]=""),"Vencida","Não Vencida")</f>
        <v>Não Vencida</v>
      </c>
      <c r="P211" t="str">
        <f>IF(TbRegistroEntradas[[#This Row],[Data da Competência]]=TbRegistroEntradas[[#This Row],[Data do Caixa Previsto]],"Vista","Prazo")</f>
        <v>Prazo</v>
      </c>
      <c r="Q21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12" spans="2:17" x14ac:dyDescent="0.25">
      <c r="B212" s="11">
        <v>43683</v>
      </c>
      <c r="C212" s="11">
        <v>43582</v>
      </c>
      <c r="D212" s="11">
        <v>43625</v>
      </c>
      <c r="E212" t="s">
        <v>24</v>
      </c>
      <c r="F212" t="s">
        <v>35</v>
      </c>
      <c r="G212" t="s">
        <v>266</v>
      </c>
      <c r="H212" s="114">
        <v>245</v>
      </c>
      <c r="I212">
        <f>IF(TbRegistroEntradas[[#This Row],[Data do Caixa Realizado]]="",0,MONTH(TbRegistroEntradas[[#This Row],[Data do Caixa Realizado]]))</f>
        <v>8</v>
      </c>
      <c r="J212">
        <f>IF(TbRegistroEntradas[[#This Row],[Data do Caixa Realizado]]="",0,YEAR(TbRegistroEntradas[[#This Row],[Data do Caixa Realizado]]))</f>
        <v>2019</v>
      </c>
      <c r="K212">
        <f>IF(TbRegistroEntradas[[#This Row],[Data da Competência]]="",0,MONTH(TbRegistroEntradas[[#This Row],[Data da Competência]]))</f>
        <v>4</v>
      </c>
      <c r="L212">
        <f>IF(TbRegistroEntradas[[#This Row],[Data da Competência]]="",0,YEAR(TbRegistroEntradas[[#This Row],[Data da Competência]]))</f>
        <v>2019</v>
      </c>
      <c r="M212">
        <f>IF(TbRegistroEntradas[[#This Row],[Data do Caixa Previsto]]="",0,MONTH(TbRegistroEntradas[[#This Row],[Data do Caixa Previsto]]))</f>
        <v>6</v>
      </c>
      <c r="N212">
        <f>IF(TbRegistroEntradas[[#This Row],[Data do Caixa Previsto]]="",0,YEAR(TbRegistroEntradas[[#This Row],[Data do Caixa Previsto]]))</f>
        <v>2019</v>
      </c>
      <c r="O212" t="str">
        <f ca="1">IF(AND(TbRegistroEntradas[[#This Row],[Data do Caixa Previsto]]&lt;TODAY(),TbRegistroEntradas[[#This Row],[Data do Caixa Realizado]]=""),"Vencida","Não Vencida")</f>
        <v>Não Vencida</v>
      </c>
      <c r="P212" t="str">
        <f>IF(TbRegistroEntradas[[#This Row],[Data da Competência]]=TbRegistroEntradas[[#This Row],[Data do Caixa Previsto]],"Vista","Prazo")</f>
        <v>Prazo</v>
      </c>
      <c r="Q21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58</v>
      </c>
    </row>
    <row r="213" spans="2:17" x14ac:dyDescent="0.25">
      <c r="B213" s="11">
        <v>43595</v>
      </c>
      <c r="C213" s="11">
        <v>43584</v>
      </c>
      <c r="D213" s="11">
        <v>43595</v>
      </c>
      <c r="E213" t="s">
        <v>24</v>
      </c>
      <c r="F213" t="s">
        <v>34</v>
      </c>
      <c r="G213" t="s">
        <v>267</v>
      </c>
      <c r="H213" s="114">
        <v>2091</v>
      </c>
      <c r="I213">
        <f>IF(TbRegistroEntradas[[#This Row],[Data do Caixa Realizado]]="",0,MONTH(TbRegistroEntradas[[#This Row],[Data do Caixa Realizado]]))</f>
        <v>5</v>
      </c>
      <c r="J213">
        <f>IF(TbRegistroEntradas[[#This Row],[Data do Caixa Realizado]]="",0,YEAR(TbRegistroEntradas[[#This Row],[Data do Caixa Realizado]]))</f>
        <v>2019</v>
      </c>
      <c r="K213">
        <f>IF(TbRegistroEntradas[[#This Row],[Data da Competência]]="",0,MONTH(TbRegistroEntradas[[#This Row],[Data da Competência]]))</f>
        <v>4</v>
      </c>
      <c r="L213">
        <f>IF(TbRegistroEntradas[[#This Row],[Data da Competência]]="",0,YEAR(TbRegistroEntradas[[#This Row],[Data da Competência]]))</f>
        <v>2019</v>
      </c>
      <c r="M213">
        <f>IF(TbRegistroEntradas[[#This Row],[Data do Caixa Previsto]]="",0,MONTH(TbRegistroEntradas[[#This Row],[Data do Caixa Previsto]]))</f>
        <v>5</v>
      </c>
      <c r="N213">
        <f>IF(TbRegistroEntradas[[#This Row],[Data do Caixa Previsto]]="",0,YEAR(TbRegistroEntradas[[#This Row],[Data do Caixa Previsto]]))</f>
        <v>2019</v>
      </c>
      <c r="O213" t="str">
        <f ca="1">IF(AND(TbRegistroEntradas[[#This Row],[Data do Caixa Previsto]]&lt;TODAY(),TbRegistroEntradas[[#This Row],[Data do Caixa Realizado]]=""),"Vencida","Não Vencida")</f>
        <v>Não Vencida</v>
      </c>
      <c r="P213" t="str">
        <f>IF(TbRegistroEntradas[[#This Row],[Data da Competência]]=TbRegistroEntradas[[#This Row],[Data do Caixa Previsto]],"Vista","Prazo")</f>
        <v>Prazo</v>
      </c>
      <c r="Q21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14" spans="2:17" x14ac:dyDescent="0.25">
      <c r="B214" s="11">
        <v>43594</v>
      </c>
      <c r="C214" s="11">
        <v>43585</v>
      </c>
      <c r="D214" s="11">
        <v>43594</v>
      </c>
      <c r="E214" t="s">
        <v>24</v>
      </c>
      <c r="F214" t="s">
        <v>34</v>
      </c>
      <c r="G214" t="s">
        <v>268</v>
      </c>
      <c r="H214" s="114">
        <v>3200</v>
      </c>
      <c r="I214">
        <f>IF(TbRegistroEntradas[[#This Row],[Data do Caixa Realizado]]="",0,MONTH(TbRegistroEntradas[[#This Row],[Data do Caixa Realizado]]))</f>
        <v>5</v>
      </c>
      <c r="J214">
        <f>IF(TbRegistroEntradas[[#This Row],[Data do Caixa Realizado]]="",0,YEAR(TbRegistroEntradas[[#This Row],[Data do Caixa Realizado]]))</f>
        <v>2019</v>
      </c>
      <c r="K214">
        <f>IF(TbRegistroEntradas[[#This Row],[Data da Competência]]="",0,MONTH(TbRegistroEntradas[[#This Row],[Data da Competência]]))</f>
        <v>4</v>
      </c>
      <c r="L214">
        <f>IF(TbRegistroEntradas[[#This Row],[Data da Competência]]="",0,YEAR(TbRegistroEntradas[[#This Row],[Data da Competência]]))</f>
        <v>2019</v>
      </c>
      <c r="M214">
        <f>IF(TbRegistroEntradas[[#This Row],[Data do Caixa Previsto]]="",0,MONTH(TbRegistroEntradas[[#This Row],[Data do Caixa Previsto]]))</f>
        <v>5</v>
      </c>
      <c r="N214">
        <f>IF(TbRegistroEntradas[[#This Row],[Data do Caixa Previsto]]="",0,YEAR(TbRegistroEntradas[[#This Row],[Data do Caixa Previsto]]))</f>
        <v>2019</v>
      </c>
      <c r="O214" t="str">
        <f ca="1">IF(AND(TbRegistroEntradas[[#This Row],[Data do Caixa Previsto]]&lt;TODAY(),TbRegistroEntradas[[#This Row],[Data do Caixa Realizado]]=""),"Vencida","Não Vencida")</f>
        <v>Não Vencida</v>
      </c>
      <c r="P214" t="str">
        <f>IF(TbRegistroEntradas[[#This Row],[Data da Competência]]=TbRegistroEntradas[[#This Row],[Data do Caixa Previsto]],"Vista","Prazo")</f>
        <v>Prazo</v>
      </c>
      <c r="Q21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15" spans="2:17" x14ac:dyDescent="0.25">
      <c r="B215" s="11">
        <v>43587</v>
      </c>
      <c r="C215" s="11">
        <v>43587</v>
      </c>
      <c r="D215" s="11">
        <v>43587</v>
      </c>
      <c r="E215" t="s">
        <v>24</v>
      </c>
      <c r="F215" t="s">
        <v>35</v>
      </c>
      <c r="G215" t="s">
        <v>269</v>
      </c>
      <c r="H215" s="114">
        <v>583</v>
      </c>
      <c r="I215">
        <f>IF(TbRegistroEntradas[[#This Row],[Data do Caixa Realizado]]="",0,MONTH(TbRegistroEntradas[[#This Row],[Data do Caixa Realizado]]))</f>
        <v>5</v>
      </c>
      <c r="J215">
        <f>IF(TbRegistroEntradas[[#This Row],[Data do Caixa Realizado]]="",0,YEAR(TbRegistroEntradas[[#This Row],[Data do Caixa Realizado]]))</f>
        <v>2019</v>
      </c>
      <c r="K215">
        <f>IF(TbRegistroEntradas[[#This Row],[Data da Competência]]="",0,MONTH(TbRegistroEntradas[[#This Row],[Data da Competência]]))</f>
        <v>5</v>
      </c>
      <c r="L215">
        <f>IF(TbRegistroEntradas[[#This Row],[Data da Competência]]="",0,YEAR(TbRegistroEntradas[[#This Row],[Data da Competência]]))</f>
        <v>2019</v>
      </c>
      <c r="M215">
        <f>IF(TbRegistroEntradas[[#This Row],[Data do Caixa Previsto]]="",0,MONTH(TbRegistroEntradas[[#This Row],[Data do Caixa Previsto]]))</f>
        <v>5</v>
      </c>
      <c r="N215">
        <f>IF(TbRegistroEntradas[[#This Row],[Data do Caixa Previsto]]="",0,YEAR(TbRegistroEntradas[[#This Row],[Data do Caixa Previsto]]))</f>
        <v>2019</v>
      </c>
      <c r="O215" t="str">
        <f ca="1">IF(AND(TbRegistroEntradas[[#This Row],[Data do Caixa Previsto]]&lt;TODAY(),TbRegistroEntradas[[#This Row],[Data do Caixa Realizado]]=""),"Vencida","Não Vencida")</f>
        <v>Não Vencida</v>
      </c>
      <c r="P215" t="str">
        <f>IF(TbRegistroEntradas[[#This Row],[Data da Competência]]=TbRegistroEntradas[[#This Row],[Data do Caixa Previsto]],"Vista","Prazo")</f>
        <v>Vista</v>
      </c>
      <c r="Q21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16" spans="2:17" x14ac:dyDescent="0.25">
      <c r="B216" s="11">
        <v>43626</v>
      </c>
      <c r="C216" s="11">
        <v>43590</v>
      </c>
      <c r="D216" s="11">
        <v>43626</v>
      </c>
      <c r="E216" t="s">
        <v>24</v>
      </c>
      <c r="F216" t="s">
        <v>34</v>
      </c>
      <c r="G216" t="s">
        <v>270</v>
      </c>
      <c r="H216" s="114">
        <v>4505</v>
      </c>
      <c r="I216">
        <f>IF(TbRegistroEntradas[[#This Row],[Data do Caixa Realizado]]="",0,MONTH(TbRegistroEntradas[[#This Row],[Data do Caixa Realizado]]))</f>
        <v>6</v>
      </c>
      <c r="J216">
        <f>IF(TbRegistroEntradas[[#This Row],[Data do Caixa Realizado]]="",0,YEAR(TbRegistroEntradas[[#This Row],[Data do Caixa Realizado]]))</f>
        <v>2019</v>
      </c>
      <c r="K216">
        <f>IF(TbRegistroEntradas[[#This Row],[Data da Competência]]="",0,MONTH(TbRegistroEntradas[[#This Row],[Data da Competência]]))</f>
        <v>5</v>
      </c>
      <c r="L216">
        <f>IF(TbRegistroEntradas[[#This Row],[Data da Competência]]="",0,YEAR(TbRegistroEntradas[[#This Row],[Data da Competência]]))</f>
        <v>2019</v>
      </c>
      <c r="M216">
        <f>IF(TbRegistroEntradas[[#This Row],[Data do Caixa Previsto]]="",0,MONTH(TbRegistroEntradas[[#This Row],[Data do Caixa Previsto]]))</f>
        <v>6</v>
      </c>
      <c r="N216">
        <f>IF(TbRegistroEntradas[[#This Row],[Data do Caixa Previsto]]="",0,YEAR(TbRegistroEntradas[[#This Row],[Data do Caixa Previsto]]))</f>
        <v>2019</v>
      </c>
      <c r="O216" t="str">
        <f ca="1">IF(AND(TbRegistroEntradas[[#This Row],[Data do Caixa Previsto]]&lt;TODAY(),TbRegistroEntradas[[#This Row],[Data do Caixa Realizado]]=""),"Vencida","Não Vencida")</f>
        <v>Não Vencida</v>
      </c>
      <c r="P216" t="str">
        <f>IF(TbRegistroEntradas[[#This Row],[Data da Competência]]=TbRegistroEntradas[[#This Row],[Data do Caixa Previsto]],"Vista","Prazo")</f>
        <v>Prazo</v>
      </c>
      <c r="Q21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17" spans="2:17" x14ac:dyDescent="0.25">
      <c r="B217" s="11">
        <v>43592</v>
      </c>
      <c r="C217" s="11">
        <v>43592</v>
      </c>
      <c r="D217" s="11">
        <v>43592</v>
      </c>
      <c r="E217" t="s">
        <v>24</v>
      </c>
      <c r="F217" t="s">
        <v>34</v>
      </c>
      <c r="G217" t="s">
        <v>271</v>
      </c>
      <c r="H217" s="114">
        <v>343</v>
      </c>
      <c r="I217">
        <f>IF(TbRegistroEntradas[[#This Row],[Data do Caixa Realizado]]="",0,MONTH(TbRegistroEntradas[[#This Row],[Data do Caixa Realizado]]))</f>
        <v>5</v>
      </c>
      <c r="J217">
        <f>IF(TbRegistroEntradas[[#This Row],[Data do Caixa Realizado]]="",0,YEAR(TbRegistroEntradas[[#This Row],[Data do Caixa Realizado]]))</f>
        <v>2019</v>
      </c>
      <c r="K217">
        <f>IF(TbRegistroEntradas[[#This Row],[Data da Competência]]="",0,MONTH(TbRegistroEntradas[[#This Row],[Data da Competência]]))</f>
        <v>5</v>
      </c>
      <c r="L217">
        <f>IF(TbRegistroEntradas[[#This Row],[Data da Competência]]="",0,YEAR(TbRegistroEntradas[[#This Row],[Data da Competência]]))</f>
        <v>2019</v>
      </c>
      <c r="M217">
        <f>IF(TbRegistroEntradas[[#This Row],[Data do Caixa Previsto]]="",0,MONTH(TbRegistroEntradas[[#This Row],[Data do Caixa Previsto]]))</f>
        <v>5</v>
      </c>
      <c r="N217">
        <f>IF(TbRegistroEntradas[[#This Row],[Data do Caixa Previsto]]="",0,YEAR(TbRegistroEntradas[[#This Row],[Data do Caixa Previsto]]))</f>
        <v>2019</v>
      </c>
      <c r="O217" t="str">
        <f ca="1">IF(AND(TbRegistroEntradas[[#This Row],[Data do Caixa Previsto]]&lt;TODAY(),TbRegistroEntradas[[#This Row],[Data do Caixa Realizado]]=""),"Vencida","Não Vencida")</f>
        <v>Não Vencida</v>
      </c>
      <c r="P217" t="str">
        <f>IF(TbRegistroEntradas[[#This Row],[Data da Competência]]=TbRegistroEntradas[[#This Row],[Data do Caixa Previsto]],"Vista","Prazo")</f>
        <v>Vista</v>
      </c>
      <c r="Q21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18" spans="2:17" x14ac:dyDescent="0.25">
      <c r="B218" s="11">
        <v>43603</v>
      </c>
      <c r="C218" s="11">
        <v>43593</v>
      </c>
      <c r="D218" s="11">
        <v>43603</v>
      </c>
      <c r="E218" t="s">
        <v>24</v>
      </c>
      <c r="F218" t="s">
        <v>32</v>
      </c>
      <c r="G218" t="s">
        <v>272</v>
      </c>
      <c r="H218" s="114">
        <v>4510</v>
      </c>
      <c r="I218">
        <f>IF(TbRegistroEntradas[[#This Row],[Data do Caixa Realizado]]="",0,MONTH(TbRegistroEntradas[[#This Row],[Data do Caixa Realizado]]))</f>
        <v>5</v>
      </c>
      <c r="J218">
        <f>IF(TbRegistroEntradas[[#This Row],[Data do Caixa Realizado]]="",0,YEAR(TbRegistroEntradas[[#This Row],[Data do Caixa Realizado]]))</f>
        <v>2019</v>
      </c>
      <c r="K218">
        <f>IF(TbRegistroEntradas[[#This Row],[Data da Competência]]="",0,MONTH(TbRegistroEntradas[[#This Row],[Data da Competência]]))</f>
        <v>5</v>
      </c>
      <c r="L218">
        <f>IF(TbRegistroEntradas[[#This Row],[Data da Competência]]="",0,YEAR(TbRegistroEntradas[[#This Row],[Data da Competência]]))</f>
        <v>2019</v>
      </c>
      <c r="M218">
        <f>IF(TbRegistroEntradas[[#This Row],[Data do Caixa Previsto]]="",0,MONTH(TbRegistroEntradas[[#This Row],[Data do Caixa Previsto]]))</f>
        <v>5</v>
      </c>
      <c r="N218">
        <f>IF(TbRegistroEntradas[[#This Row],[Data do Caixa Previsto]]="",0,YEAR(TbRegistroEntradas[[#This Row],[Data do Caixa Previsto]]))</f>
        <v>2019</v>
      </c>
      <c r="O218" t="str">
        <f ca="1">IF(AND(TbRegistroEntradas[[#This Row],[Data do Caixa Previsto]]&lt;TODAY(),TbRegistroEntradas[[#This Row],[Data do Caixa Realizado]]=""),"Vencida","Não Vencida")</f>
        <v>Não Vencida</v>
      </c>
      <c r="P218" t="str">
        <f>IF(TbRegistroEntradas[[#This Row],[Data da Competência]]=TbRegistroEntradas[[#This Row],[Data do Caixa Previsto]],"Vista","Prazo")</f>
        <v>Prazo</v>
      </c>
      <c r="Q21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19" spans="2:17" x14ac:dyDescent="0.25">
      <c r="B219" s="11">
        <v>43597</v>
      </c>
      <c r="C219" s="11">
        <v>43597</v>
      </c>
      <c r="D219" s="11">
        <v>43597</v>
      </c>
      <c r="E219" t="s">
        <v>24</v>
      </c>
      <c r="F219" t="s">
        <v>34</v>
      </c>
      <c r="G219" t="s">
        <v>273</v>
      </c>
      <c r="H219" s="114">
        <v>667</v>
      </c>
      <c r="I219">
        <f>IF(TbRegistroEntradas[[#This Row],[Data do Caixa Realizado]]="",0,MONTH(TbRegistroEntradas[[#This Row],[Data do Caixa Realizado]]))</f>
        <v>5</v>
      </c>
      <c r="J219">
        <f>IF(TbRegistroEntradas[[#This Row],[Data do Caixa Realizado]]="",0,YEAR(TbRegistroEntradas[[#This Row],[Data do Caixa Realizado]]))</f>
        <v>2019</v>
      </c>
      <c r="K219">
        <f>IF(TbRegistroEntradas[[#This Row],[Data da Competência]]="",0,MONTH(TbRegistroEntradas[[#This Row],[Data da Competência]]))</f>
        <v>5</v>
      </c>
      <c r="L219">
        <f>IF(TbRegistroEntradas[[#This Row],[Data da Competência]]="",0,YEAR(TbRegistroEntradas[[#This Row],[Data da Competência]]))</f>
        <v>2019</v>
      </c>
      <c r="M219">
        <f>IF(TbRegistroEntradas[[#This Row],[Data do Caixa Previsto]]="",0,MONTH(TbRegistroEntradas[[#This Row],[Data do Caixa Previsto]]))</f>
        <v>5</v>
      </c>
      <c r="N219">
        <f>IF(TbRegistroEntradas[[#This Row],[Data do Caixa Previsto]]="",0,YEAR(TbRegistroEntradas[[#This Row],[Data do Caixa Previsto]]))</f>
        <v>2019</v>
      </c>
      <c r="O219" t="str">
        <f ca="1">IF(AND(TbRegistroEntradas[[#This Row],[Data do Caixa Previsto]]&lt;TODAY(),TbRegistroEntradas[[#This Row],[Data do Caixa Realizado]]=""),"Vencida","Não Vencida")</f>
        <v>Não Vencida</v>
      </c>
      <c r="P219" t="str">
        <f>IF(TbRegistroEntradas[[#This Row],[Data da Competência]]=TbRegistroEntradas[[#This Row],[Data do Caixa Previsto]],"Vista","Prazo")</f>
        <v>Vista</v>
      </c>
      <c r="Q21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20" spans="2:17" x14ac:dyDescent="0.25">
      <c r="B220" s="11">
        <v>43631</v>
      </c>
      <c r="C220" s="11">
        <v>43600</v>
      </c>
      <c r="D220" s="11">
        <v>43631</v>
      </c>
      <c r="E220" t="s">
        <v>24</v>
      </c>
      <c r="F220" t="s">
        <v>34</v>
      </c>
      <c r="G220" t="s">
        <v>274</v>
      </c>
      <c r="H220" s="114">
        <v>1006</v>
      </c>
      <c r="I220">
        <f>IF(TbRegistroEntradas[[#This Row],[Data do Caixa Realizado]]="",0,MONTH(TbRegistroEntradas[[#This Row],[Data do Caixa Realizado]]))</f>
        <v>6</v>
      </c>
      <c r="J220">
        <f>IF(TbRegistroEntradas[[#This Row],[Data do Caixa Realizado]]="",0,YEAR(TbRegistroEntradas[[#This Row],[Data do Caixa Realizado]]))</f>
        <v>2019</v>
      </c>
      <c r="K220">
        <f>IF(TbRegistroEntradas[[#This Row],[Data da Competência]]="",0,MONTH(TbRegistroEntradas[[#This Row],[Data da Competência]]))</f>
        <v>5</v>
      </c>
      <c r="L220">
        <f>IF(TbRegistroEntradas[[#This Row],[Data da Competência]]="",0,YEAR(TbRegistroEntradas[[#This Row],[Data da Competência]]))</f>
        <v>2019</v>
      </c>
      <c r="M220">
        <f>IF(TbRegistroEntradas[[#This Row],[Data do Caixa Previsto]]="",0,MONTH(TbRegistroEntradas[[#This Row],[Data do Caixa Previsto]]))</f>
        <v>6</v>
      </c>
      <c r="N220">
        <f>IF(TbRegistroEntradas[[#This Row],[Data do Caixa Previsto]]="",0,YEAR(TbRegistroEntradas[[#This Row],[Data do Caixa Previsto]]))</f>
        <v>2019</v>
      </c>
      <c r="O220" t="str">
        <f ca="1">IF(AND(TbRegistroEntradas[[#This Row],[Data do Caixa Previsto]]&lt;TODAY(),TbRegistroEntradas[[#This Row],[Data do Caixa Realizado]]=""),"Vencida","Não Vencida")</f>
        <v>Não Vencida</v>
      </c>
      <c r="P220" t="str">
        <f>IF(TbRegistroEntradas[[#This Row],[Data da Competência]]=TbRegistroEntradas[[#This Row],[Data do Caixa Previsto]],"Vista","Prazo")</f>
        <v>Prazo</v>
      </c>
      <c r="Q22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21" spans="2:17" x14ac:dyDescent="0.25">
      <c r="B221" s="11">
        <v>43635</v>
      </c>
      <c r="C221" s="11">
        <v>43604</v>
      </c>
      <c r="D221" s="11">
        <v>43635</v>
      </c>
      <c r="E221" t="s">
        <v>24</v>
      </c>
      <c r="F221" t="s">
        <v>35</v>
      </c>
      <c r="G221" t="s">
        <v>275</v>
      </c>
      <c r="H221" s="114">
        <v>1071</v>
      </c>
      <c r="I221">
        <f>IF(TbRegistroEntradas[[#This Row],[Data do Caixa Realizado]]="",0,MONTH(TbRegistroEntradas[[#This Row],[Data do Caixa Realizado]]))</f>
        <v>6</v>
      </c>
      <c r="J221">
        <f>IF(TbRegistroEntradas[[#This Row],[Data do Caixa Realizado]]="",0,YEAR(TbRegistroEntradas[[#This Row],[Data do Caixa Realizado]]))</f>
        <v>2019</v>
      </c>
      <c r="K221">
        <f>IF(TbRegistroEntradas[[#This Row],[Data da Competência]]="",0,MONTH(TbRegistroEntradas[[#This Row],[Data da Competência]]))</f>
        <v>5</v>
      </c>
      <c r="L221">
        <f>IF(TbRegistroEntradas[[#This Row],[Data da Competência]]="",0,YEAR(TbRegistroEntradas[[#This Row],[Data da Competência]]))</f>
        <v>2019</v>
      </c>
      <c r="M221">
        <f>IF(TbRegistroEntradas[[#This Row],[Data do Caixa Previsto]]="",0,MONTH(TbRegistroEntradas[[#This Row],[Data do Caixa Previsto]]))</f>
        <v>6</v>
      </c>
      <c r="N221">
        <f>IF(TbRegistroEntradas[[#This Row],[Data do Caixa Previsto]]="",0,YEAR(TbRegistroEntradas[[#This Row],[Data do Caixa Previsto]]))</f>
        <v>2019</v>
      </c>
      <c r="O221" t="str">
        <f ca="1">IF(AND(TbRegistroEntradas[[#This Row],[Data do Caixa Previsto]]&lt;TODAY(),TbRegistroEntradas[[#This Row],[Data do Caixa Realizado]]=""),"Vencida","Não Vencida")</f>
        <v>Não Vencida</v>
      </c>
      <c r="P221" t="str">
        <f>IF(TbRegistroEntradas[[#This Row],[Data da Competência]]=TbRegistroEntradas[[#This Row],[Data do Caixa Previsto]],"Vista","Prazo")</f>
        <v>Prazo</v>
      </c>
      <c r="Q22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22" spans="2:17" x14ac:dyDescent="0.25">
      <c r="B222" s="11">
        <v>43630</v>
      </c>
      <c r="C222" s="11">
        <v>43609</v>
      </c>
      <c r="D222" s="11">
        <v>43630</v>
      </c>
      <c r="E222" t="s">
        <v>24</v>
      </c>
      <c r="F222" t="s">
        <v>33</v>
      </c>
      <c r="G222" t="s">
        <v>276</v>
      </c>
      <c r="H222" s="114">
        <v>2194</v>
      </c>
      <c r="I222">
        <f>IF(TbRegistroEntradas[[#This Row],[Data do Caixa Realizado]]="",0,MONTH(TbRegistroEntradas[[#This Row],[Data do Caixa Realizado]]))</f>
        <v>6</v>
      </c>
      <c r="J222">
        <f>IF(TbRegistroEntradas[[#This Row],[Data do Caixa Realizado]]="",0,YEAR(TbRegistroEntradas[[#This Row],[Data do Caixa Realizado]]))</f>
        <v>2019</v>
      </c>
      <c r="K222">
        <f>IF(TbRegistroEntradas[[#This Row],[Data da Competência]]="",0,MONTH(TbRegistroEntradas[[#This Row],[Data da Competência]]))</f>
        <v>5</v>
      </c>
      <c r="L222">
        <f>IF(TbRegistroEntradas[[#This Row],[Data da Competência]]="",0,YEAR(TbRegistroEntradas[[#This Row],[Data da Competência]]))</f>
        <v>2019</v>
      </c>
      <c r="M222">
        <f>IF(TbRegistroEntradas[[#This Row],[Data do Caixa Previsto]]="",0,MONTH(TbRegistroEntradas[[#This Row],[Data do Caixa Previsto]]))</f>
        <v>6</v>
      </c>
      <c r="N222">
        <f>IF(TbRegistroEntradas[[#This Row],[Data do Caixa Previsto]]="",0,YEAR(TbRegistroEntradas[[#This Row],[Data do Caixa Previsto]]))</f>
        <v>2019</v>
      </c>
      <c r="O222" t="str">
        <f ca="1">IF(AND(TbRegistroEntradas[[#This Row],[Data do Caixa Previsto]]&lt;TODAY(),TbRegistroEntradas[[#This Row],[Data do Caixa Realizado]]=""),"Vencida","Não Vencida")</f>
        <v>Não Vencida</v>
      </c>
      <c r="P222" t="str">
        <f>IF(TbRegistroEntradas[[#This Row],[Data da Competência]]=TbRegistroEntradas[[#This Row],[Data do Caixa Previsto]],"Vista","Prazo")</f>
        <v>Prazo</v>
      </c>
      <c r="Q22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23" spans="2:17" x14ac:dyDescent="0.25">
      <c r="B223" s="11" t="s">
        <v>68</v>
      </c>
      <c r="C223" s="11">
        <v>43611</v>
      </c>
      <c r="D223" s="11">
        <v>43611</v>
      </c>
      <c r="E223" t="s">
        <v>24</v>
      </c>
      <c r="F223" t="s">
        <v>34</v>
      </c>
      <c r="G223" t="s">
        <v>277</v>
      </c>
      <c r="H223" s="114">
        <v>2531</v>
      </c>
      <c r="I223">
        <f>IF(TbRegistroEntradas[[#This Row],[Data do Caixa Realizado]]="",0,MONTH(TbRegistroEntradas[[#This Row],[Data do Caixa Realizado]]))</f>
        <v>0</v>
      </c>
      <c r="J223">
        <f>IF(TbRegistroEntradas[[#This Row],[Data do Caixa Realizado]]="",0,YEAR(TbRegistroEntradas[[#This Row],[Data do Caixa Realizado]]))</f>
        <v>0</v>
      </c>
      <c r="K223">
        <f>IF(TbRegistroEntradas[[#This Row],[Data da Competência]]="",0,MONTH(TbRegistroEntradas[[#This Row],[Data da Competência]]))</f>
        <v>5</v>
      </c>
      <c r="L223">
        <f>IF(TbRegistroEntradas[[#This Row],[Data da Competência]]="",0,YEAR(TbRegistroEntradas[[#This Row],[Data da Competência]]))</f>
        <v>2019</v>
      </c>
      <c r="M223">
        <f>IF(TbRegistroEntradas[[#This Row],[Data do Caixa Previsto]]="",0,MONTH(TbRegistroEntradas[[#This Row],[Data do Caixa Previsto]]))</f>
        <v>5</v>
      </c>
      <c r="N223">
        <f>IF(TbRegistroEntradas[[#This Row],[Data do Caixa Previsto]]="",0,YEAR(TbRegistroEntradas[[#This Row],[Data do Caixa Previsto]]))</f>
        <v>2019</v>
      </c>
      <c r="O223" t="str">
        <f ca="1">IF(AND(TbRegistroEntradas[[#This Row],[Data do Caixa Previsto]]&lt;TODAY(),TbRegistroEntradas[[#This Row],[Data do Caixa Realizado]]=""),"Vencida","Não Vencida")</f>
        <v>Vencida</v>
      </c>
      <c r="P223" t="str">
        <f>IF(TbRegistroEntradas[[#This Row],[Data da Competência]]=TbRegistroEntradas[[#This Row],[Data do Caixa Previsto]],"Vista","Prazo")</f>
        <v>Vista</v>
      </c>
      <c r="Q22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1742</v>
      </c>
    </row>
    <row r="224" spans="2:17" x14ac:dyDescent="0.25">
      <c r="B224" s="11">
        <v>43655</v>
      </c>
      <c r="C224" s="11">
        <v>43614</v>
      </c>
      <c r="D224" s="11">
        <v>43655</v>
      </c>
      <c r="E224" t="s">
        <v>24</v>
      </c>
      <c r="F224" t="s">
        <v>32</v>
      </c>
      <c r="G224" t="s">
        <v>278</v>
      </c>
      <c r="H224" s="114">
        <v>657</v>
      </c>
      <c r="I224">
        <f>IF(TbRegistroEntradas[[#This Row],[Data do Caixa Realizado]]="",0,MONTH(TbRegistroEntradas[[#This Row],[Data do Caixa Realizado]]))</f>
        <v>7</v>
      </c>
      <c r="J224">
        <f>IF(TbRegistroEntradas[[#This Row],[Data do Caixa Realizado]]="",0,YEAR(TbRegistroEntradas[[#This Row],[Data do Caixa Realizado]]))</f>
        <v>2019</v>
      </c>
      <c r="K224">
        <f>IF(TbRegistroEntradas[[#This Row],[Data da Competência]]="",0,MONTH(TbRegistroEntradas[[#This Row],[Data da Competência]]))</f>
        <v>5</v>
      </c>
      <c r="L224">
        <f>IF(TbRegistroEntradas[[#This Row],[Data da Competência]]="",0,YEAR(TbRegistroEntradas[[#This Row],[Data da Competência]]))</f>
        <v>2019</v>
      </c>
      <c r="M224">
        <f>IF(TbRegistroEntradas[[#This Row],[Data do Caixa Previsto]]="",0,MONTH(TbRegistroEntradas[[#This Row],[Data do Caixa Previsto]]))</f>
        <v>7</v>
      </c>
      <c r="N224">
        <f>IF(TbRegistroEntradas[[#This Row],[Data do Caixa Previsto]]="",0,YEAR(TbRegistroEntradas[[#This Row],[Data do Caixa Previsto]]))</f>
        <v>2019</v>
      </c>
      <c r="O224" t="str">
        <f ca="1">IF(AND(TbRegistroEntradas[[#This Row],[Data do Caixa Previsto]]&lt;TODAY(),TbRegistroEntradas[[#This Row],[Data do Caixa Realizado]]=""),"Vencida","Não Vencida")</f>
        <v>Não Vencida</v>
      </c>
      <c r="P224" t="str">
        <f>IF(TbRegistroEntradas[[#This Row],[Data da Competência]]=TbRegistroEntradas[[#This Row],[Data do Caixa Previsto]],"Vista","Prazo")</f>
        <v>Prazo</v>
      </c>
      <c r="Q22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25" spans="2:17" x14ac:dyDescent="0.25">
      <c r="B225" s="11" t="s">
        <v>68</v>
      </c>
      <c r="C225" s="11">
        <v>43615</v>
      </c>
      <c r="D225" s="11">
        <v>43648</v>
      </c>
      <c r="E225" t="s">
        <v>24</v>
      </c>
      <c r="F225" t="s">
        <v>31</v>
      </c>
      <c r="G225" t="s">
        <v>279</v>
      </c>
      <c r="H225" s="114">
        <v>4535</v>
      </c>
      <c r="I225">
        <f>IF(TbRegistroEntradas[[#This Row],[Data do Caixa Realizado]]="",0,MONTH(TbRegistroEntradas[[#This Row],[Data do Caixa Realizado]]))</f>
        <v>0</v>
      </c>
      <c r="J225">
        <f>IF(TbRegistroEntradas[[#This Row],[Data do Caixa Realizado]]="",0,YEAR(TbRegistroEntradas[[#This Row],[Data do Caixa Realizado]]))</f>
        <v>0</v>
      </c>
      <c r="K225">
        <f>IF(TbRegistroEntradas[[#This Row],[Data da Competência]]="",0,MONTH(TbRegistroEntradas[[#This Row],[Data da Competência]]))</f>
        <v>5</v>
      </c>
      <c r="L225">
        <f>IF(TbRegistroEntradas[[#This Row],[Data da Competência]]="",0,YEAR(TbRegistroEntradas[[#This Row],[Data da Competência]]))</f>
        <v>2019</v>
      </c>
      <c r="M225">
        <f>IF(TbRegistroEntradas[[#This Row],[Data do Caixa Previsto]]="",0,MONTH(TbRegistroEntradas[[#This Row],[Data do Caixa Previsto]]))</f>
        <v>7</v>
      </c>
      <c r="N225">
        <f>IF(TbRegistroEntradas[[#This Row],[Data do Caixa Previsto]]="",0,YEAR(TbRegistroEntradas[[#This Row],[Data do Caixa Previsto]]))</f>
        <v>2019</v>
      </c>
      <c r="O225" t="str">
        <f ca="1">IF(AND(TbRegistroEntradas[[#This Row],[Data do Caixa Previsto]]&lt;TODAY(),TbRegistroEntradas[[#This Row],[Data do Caixa Realizado]]=""),"Vencida","Não Vencida")</f>
        <v>Vencida</v>
      </c>
      <c r="P225" t="str">
        <f>IF(TbRegistroEntradas[[#This Row],[Data da Competência]]=TbRegistroEntradas[[#This Row],[Data do Caixa Previsto]],"Vista","Prazo")</f>
        <v>Prazo</v>
      </c>
      <c r="Q225">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1705</v>
      </c>
    </row>
    <row r="226" spans="2:17" x14ac:dyDescent="0.25">
      <c r="B226" s="11">
        <v>43641</v>
      </c>
      <c r="C226" s="11">
        <v>43620</v>
      </c>
      <c r="D226" s="11">
        <v>43641</v>
      </c>
      <c r="E226" t="s">
        <v>24</v>
      </c>
      <c r="F226" t="s">
        <v>34</v>
      </c>
      <c r="G226" t="s">
        <v>280</v>
      </c>
      <c r="H226" s="114">
        <v>1848</v>
      </c>
      <c r="I226">
        <f>IF(TbRegistroEntradas[[#This Row],[Data do Caixa Realizado]]="",0,MONTH(TbRegistroEntradas[[#This Row],[Data do Caixa Realizado]]))</f>
        <v>6</v>
      </c>
      <c r="J226">
        <f>IF(TbRegistroEntradas[[#This Row],[Data do Caixa Realizado]]="",0,YEAR(TbRegistroEntradas[[#This Row],[Data do Caixa Realizado]]))</f>
        <v>2019</v>
      </c>
      <c r="K226">
        <f>IF(TbRegistroEntradas[[#This Row],[Data da Competência]]="",0,MONTH(TbRegistroEntradas[[#This Row],[Data da Competência]]))</f>
        <v>6</v>
      </c>
      <c r="L226">
        <f>IF(TbRegistroEntradas[[#This Row],[Data da Competência]]="",0,YEAR(TbRegistroEntradas[[#This Row],[Data da Competência]]))</f>
        <v>2019</v>
      </c>
      <c r="M226">
        <f>IF(TbRegistroEntradas[[#This Row],[Data do Caixa Previsto]]="",0,MONTH(TbRegistroEntradas[[#This Row],[Data do Caixa Previsto]]))</f>
        <v>6</v>
      </c>
      <c r="N226">
        <f>IF(TbRegistroEntradas[[#This Row],[Data do Caixa Previsto]]="",0,YEAR(TbRegistroEntradas[[#This Row],[Data do Caixa Previsto]]))</f>
        <v>2019</v>
      </c>
      <c r="O226" t="str">
        <f ca="1">IF(AND(TbRegistroEntradas[[#This Row],[Data do Caixa Previsto]]&lt;TODAY(),TbRegistroEntradas[[#This Row],[Data do Caixa Realizado]]=""),"Vencida","Não Vencida")</f>
        <v>Não Vencida</v>
      </c>
      <c r="P226" t="str">
        <f>IF(TbRegistroEntradas[[#This Row],[Data da Competência]]=TbRegistroEntradas[[#This Row],[Data do Caixa Previsto]],"Vista","Prazo")</f>
        <v>Prazo</v>
      </c>
      <c r="Q226">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27" spans="2:17" x14ac:dyDescent="0.25">
      <c r="B227" s="11">
        <v>43649</v>
      </c>
      <c r="C227" s="11">
        <v>43625</v>
      </c>
      <c r="D227" s="11">
        <v>43632</v>
      </c>
      <c r="E227" t="s">
        <v>24</v>
      </c>
      <c r="F227" t="s">
        <v>34</v>
      </c>
      <c r="G227" t="s">
        <v>281</v>
      </c>
      <c r="H227" s="114">
        <v>191</v>
      </c>
      <c r="I227">
        <f>IF(TbRegistroEntradas[[#This Row],[Data do Caixa Realizado]]="",0,MONTH(TbRegistroEntradas[[#This Row],[Data do Caixa Realizado]]))</f>
        <v>7</v>
      </c>
      <c r="J227">
        <f>IF(TbRegistroEntradas[[#This Row],[Data do Caixa Realizado]]="",0,YEAR(TbRegistroEntradas[[#This Row],[Data do Caixa Realizado]]))</f>
        <v>2019</v>
      </c>
      <c r="K227">
        <f>IF(TbRegistroEntradas[[#This Row],[Data da Competência]]="",0,MONTH(TbRegistroEntradas[[#This Row],[Data da Competência]]))</f>
        <v>6</v>
      </c>
      <c r="L227">
        <f>IF(TbRegistroEntradas[[#This Row],[Data da Competência]]="",0,YEAR(TbRegistroEntradas[[#This Row],[Data da Competência]]))</f>
        <v>2019</v>
      </c>
      <c r="M227">
        <f>IF(TbRegistroEntradas[[#This Row],[Data do Caixa Previsto]]="",0,MONTH(TbRegistroEntradas[[#This Row],[Data do Caixa Previsto]]))</f>
        <v>6</v>
      </c>
      <c r="N227">
        <f>IF(TbRegistroEntradas[[#This Row],[Data do Caixa Previsto]]="",0,YEAR(TbRegistroEntradas[[#This Row],[Data do Caixa Previsto]]))</f>
        <v>2019</v>
      </c>
      <c r="O227" t="str">
        <f ca="1">IF(AND(TbRegistroEntradas[[#This Row],[Data do Caixa Previsto]]&lt;TODAY(),TbRegistroEntradas[[#This Row],[Data do Caixa Realizado]]=""),"Vencida","Não Vencida")</f>
        <v>Não Vencida</v>
      </c>
      <c r="P227" t="str">
        <f>IF(TbRegistroEntradas[[#This Row],[Data da Competência]]=TbRegistroEntradas[[#This Row],[Data do Caixa Previsto]],"Vista","Prazo")</f>
        <v>Prazo</v>
      </c>
      <c r="Q227">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17</v>
      </c>
    </row>
    <row r="228" spans="2:17" x14ac:dyDescent="0.25">
      <c r="B228" s="11">
        <v>43743</v>
      </c>
      <c r="C228" s="11">
        <v>43629</v>
      </c>
      <c r="D228" s="11">
        <v>43668</v>
      </c>
      <c r="E228" t="s">
        <v>24</v>
      </c>
      <c r="F228" t="s">
        <v>31</v>
      </c>
      <c r="G228" t="s">
        <v>282</v>
      </c>
      <c r="H228" s="114">
        <v>508</v>
      </c>
      <c r="I228">
        <f>IF(TbRegistroEntradas[[#This Row],[Data do Caixa Realizado]]="",0,MONTH(TbRegistroEntradas[[#This Row],[Data do Caixa Realizado]]))</f>
        <v>10</v>
      </c>
      <c r="J228">
        <f>IF(TbRegistroEntradas[[#This Row],[Data do Caixa Realizado]]="",0,YEAR(TbRegistroEntradas[[#This Row],[Data do Caixa Realizado]]))</f>
        <v>2019</v>
      </c>
      <c r="K228">
        <f>IF(TbRegistroEntradas[[#This Row],[Data da Competência]]="",0,MONTH(TbRegistroEntradas[[#This Row],[Data da Competência]]))</f>
        <v>6</v>
      </c>
      <c r="L228">
        <f>IF(TbRegistroEntradas[[#This Row],[Data da Competência]]="",0,YEAR(TbRegistroEntradas[[#This Row],[Data da Competência]]))</f>
        <v>2019</v>
      </c>
      <c r="M228">
        <f>IF(TbRegistroEntradas[[#This Row],[Data do Caixa Previsto]]="",0,MONTH(TbRegistroEntradas[[#This Row],[Data do Caixa Previsto]]))</f>
        <v>7</v>
      </c>
      <c r="N228">
        <f>IF(TbRegistroEntradas[[#This Row],[Data do Caixa Previsto]]="",0,YEAR(TbRegistroEntradas[[#This Row],[Data do Caixa Previsto]]))</f>
        <v>2019</v>
      </c>
      <c r="O228" t="str">
        <f ca="1">IF(AND(TbRegistroEntradas[[#This Row],[Data do Caixa Previsto]]&lt;TODAY(),TbRegistroEntradas[[#This Row],[Data do Caixa Realizado]]=""),"Vencida","Não Vencida")</f>
        <v>Não Vencida</v>
      </c>
      <c r="P228" t="str">
        <f>IF(TbRegistroEntradas[[#This Row],[Data da Competência]]=TbRegistroEntradas[[#This Row],[Data do Caixa Previsto]],"Vista","Prazo")</f>
        <v>Prazo</v>
      </c>
      <c r="Q228">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75</v>
      </c>
    </row>
    <row r="229" spans="2:17" x14ac:dyDescent="0.25">
      <c r="B229" s="11" t="s">
        <v>68</v>
      </c>
      <c r="C229" s="11">
        <v>43631</v>
      </c>
      <c r="D229" s="11">
        <v>43631</v>
      </c>
      <c r="E229" t="s">
        <v>24</v>
      </c>
      <c r="F229" t="s">
        <v>33</v>
      </c>
      <c r="G229" t="s">
        <v>283</v>
      </c>
      <c r="H229" s="114">
        <v>1482</v>
      </c>
      <c r="I229">
        <f>IF(TbRegistroEntradas[[#This Row],[Data do Caixa Realizado]]="",0,MONTH(TbRegistroEntradas[[#This Row],[Data do Caixa Realizado]]))</f>
        <v>0</v>
      </c>
      <c r="J229">
        <f>IF(TbRegistroEntradas[[#This Row],[Data do Caixa Realizado]]="",0,YEAR(TbRegistroEntradas[[#This Row],[Data do Caixa Realizado]]))</f>
        <v>0</v>
      </c>
      <c r="K229">
        <f>IF(TbRegistroEntradas[[#This Row],[Data da Competência]]="",0,MONTH(TbRegistroEntradas[[#This Row],[Data da Competência]]))</f>
        <v>6</v>
      </c>
      <c r="L229">
        <f>IF(TbRegistroEntradas[[#This Row],[Data da Competência]]="",0,YEAR(TbRegistroEntradas[[#This Row],[Data da Competência]]))</f>
        <v>2019</v>
      </c>
      <c r="M229">
        <f>IF(TbRegistroEntradas[[#This Row],[Data do Caixa Previsto]]="",0,MONTH(TbRegistroEntradas[[#This Row],[Data do Caixa Previsto]]))</f>
        <v>6</v>
      </c>
      <c r="N229">
        <f>IF(TbRegistroEntradas[[#This Row],[Data do Caixa Previsto]]="",0,YEAR(TbRegistroEntradas[[#This Row],[Data do Caixa Previsto]]))</f>
        <v>2019</v>
      </c>
      <c r="O229" t="str">
        <f ca="1">IF(AND(TbRegistroEntradas[[#This Row],[Data do Caixa Previsto]]&lt;TODAY(),TbRegistroEntradas[[#This Row],[Data do Caixa Realizado]]=""),"Vencida","Não Vencida")</f>
        <v>Vencida</v>
      </c>
      <c r="P229" t="str">
        <f>IF(TbRegistroEntradas[[#This Row],[Data da Competência]]=TbRegistroEntradas[[#This Row],[Data do Caixa Previsto]],"Vista","Prazo")</f>
        <v>Vista</v>
      </c>
      <c r="Q229">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1722</v>
      </c>
    </row>
    <row r="230" spans="2:17" x14ac:dyDescent="0.25">
      <c r="B230" s="11">
        <v>43647</v>
      </c>
      <c r="C230" s="11">
        <v>43632</v>
      </c>
      <c r="D230" s="11">
        <v>43647</v>
      </c>
      <c r="E230" t="s">
        <v>24</v>
      </c>
      <c r="F230" t="s">
        <v>35</v>
      </c>
      <c r="G230" t="s">
        <v>284</v>
      </c>
      <c r="H230" s="114">
        <v>555</v>
      </c>
      <c r="I230">
        <f>IF(TbRegistroEntradas[[#This Row],[Data do Caixa Realizado]]="",0,MONTH(TbRegistroEntradas[[#This Row],[Data do Caixa Realizado]]))</f>
        <v>7</v>
      </c>
      <c r="J230">
        <f>IF(TbRegistroEntradas[[#This Row],[Data do Caixa Realizado]]="",0,YEAR(TbRegistroEntradas[[#This Row],[Data do Caixa Realizado]]))</f>
        <v>2019</v>
      </c>
      <c r="K230">
        <f>IF(TbRegistroEntradas[[#This Row],[Data da Competência]]="",0,MONTH(TbRegistroEntradas[[#This Row],[Data da Competência]]))</f>
        <v>6</v>
      </c>
      <c r="L230">
        <f>IF(TbRegistroEntradas[[#This Row],[Data da Competência]]="",0,YEAR(TbRegistroEntradas[[#This Row],[Data da Competência]]))</f>
        <v>2019</v>
      </c>
      <c r="M230">
        <f>IF(TbRegistroEntradas[[#This Row],[Data do Caixa Previsto]]="",0,MONTH(TbRegistroEntradas[[#This Row],[Data do Caixa Previsto]]))</f>
        <v>7</v>
      </c>
      <c r="N230">
        <f>IF(TbRegistroEntradas[[#This Row],[Data do Caixa Previsto]]="",0,YEAR(TbRegistroEntradas[[#This Row],[Data do Caixa Previsto]]))</f>
        <v>2019</v>
      </c>
      <c r="O230" t="str">
        <f ca="1">IF(AND(TbRegistroEntradas[[#This Row],[Data do Caixa Previsto]]&lt;TODAY(),TbRegistroEntradas[[#This Row],[Data do Caixa Realizado]]=""),"Vencida","Não Vencida")</f>
        <v>Não Vencida</v>
      </c>
      <c r="P230" t="str">
        <f>IF(TbRegistroEntradas[[#This Row],[Data da Competência]]=TbRegistroEntradas[[#This Row],[Data do Caixa Previsto]],"Vista","Prazo")</f>
        <v>Prazo</v>
      </c>
      <c r="Q230">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31" spans="2:17" x14ac:dyDescent="0.25">
      <c r="B231" s="11">
        <v>43687</v>
      </c>
      <c r="C231" s="11">
        <v>43636</v>
      </c>
      <c r="D231" s="11">
        <v>43687</v>
      </c>
      <c r="E231" t="s">
        <v>24</v>
      </c>
      <c r="F231" t="s">
        <v>31</v>
      </c>
      <c r="G231" t="s">
        <v>285</v>
      </c>
      <c r="H231" s="114">
        <v>1906</v>
      </c>
      <c r="I231">
        <f>IF(TbRegistroEntradas[[#This Row],[Data do Caixa Realizado]]="",0,MONTH(TbRegistroEntradas[[#This Row],[Data do Caixa Realizado]]))</f>
        <v>8</v>
      </c>
      <c r="J231">
        <f>IF(TbRegistroEntradas[[#This Row],[Data do Caixa Realizado]]="",0,YEAR(TbRegistroEntradas[[#This Row],[Data do Caixa Realizado]]))</f>
        <v>2019</v>
      </c>
      <c r="K231">
        <f>IF(TbRegistroEntradas[[#This Row],[Data da Competência]]="",0,MONTH(TbRegistroEntradas[[#This Row],[Data da Competência]]))</f>
        <v>6</v>
      </c>
      <c r="L231">
        <f>IF(TbRegistroEntradas[[#This Row],[Data da Competência]]="",0,YEAR(TbRegistroEntradas[[#This Row],[Data da Competência]]))</f>
        <v>2019</v>
      </c>
      <c r="M231">
        <f>IF(TbRegistroEntradas[[#This Row],[Data do Caixa Previsto]]="",0,MONTH(TbRegistroEntradas[[#This Row],[Data do Caixa Previsto]]))</f>
        <v>8</v>
      </c>
      <c r="N231">
        <f>IF(TbRegistroEntradas[[#This Row],[Data do Caixa Previsto]]="",0,YEAR(TbRegistroEntradas[[#This Row],[Data do Caixa Previsto]]))</f>
        <v>2019</v>
      </c>
      <c r="O231" t="str">
        <f ca="1">IF(AND(TbRegistroEntradas[[#This Row],[Data do Caixa Previsto]]&lt;TODAY(),TbRegistroEntradas[[#This Row],[Data do Caixa Realizado]]=""),"Vencida","Não Vencida")</f>
        <v>Não Vencida</v>
      </c>
      <c r="P231" t="str">
        <f>IF(TbRegistroEntradas[[#This Row],[Data da Competência]]=TbRegistroEntradas[[#This Row],[Data do Caixa Previsto]],"Vista","Prazo")</f>
        <v>Prazo</v>
      </c>
      <c r="Q231">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row r="232" spans="2:17" x14ac:dyDescent="0.25">
      <c r="B232" s="11">
        <v>43702</v>
      </c>
      <c r="C232" s="11">
        <v>43641</v>
      </c>
      <c r="D232" s="11">
        <v>43645</v>
      </c>
      <c r="E232" t="s">
        <v>24</v>
      </c>
      <c r="F232" t="s">
        <v>31</v>
      </c>
      <c r="G232" t="s">
        <v>286</v>
      </c>
      <c r="H232" s="114">
        <v>450</v>
      </c>
      <c r="I232">
        <f>IF(TbRegistroEntradas[[#This Row],[Data do Caixa Realizado]]="",0,MONTH(TbRegistroEntradas[[#This Row],[Data do Caixa Realizado]]))</f>
        <v>8</v>
      </c>
      <c r="J232">
        <f>IF(TbRegistroEntradas[[#This Row],[Data do Caixa Realizado]]="",0,YEAR(TbRegistroEntradas[[#This Row],[Data do Caixa Realizado]]))</f>
        <v>2019</v>
      </c>
      <c r="K232">
        <f>IF(TbRegistroEntradas[[#This Row],[Data da Competência]]="",0,MONTH(TbRegistroEntradas[[#This Row],[Data da Competência]]))</f>
        <v>6</v>
      </c>
      <c r="L232">
        <f>IF(TbRegistroEntradas[[#This Row],[Data da Competência]]="",0,YEAR(TbRegistroEntradas[[#This Row],[Data da Competência]]))</f>
        <v>2019</v>
      </c>
      <c r="M232">
        <f>IF(TbRegistroEntradas[[#This Row],[Data do Caixa Previsto]]="",0,MONTH(TbRegistroEntradas[[#This Row],[Data do Caixa Previsto]]))</f>
        <v>6</v>
      </c>
      <c r="N232">
        <f>IF(TbRegistroEntradas[[#This Row],[Data do Caixa Previsto]]="",0,YEAR(TbRegistroEntradas[[#This Row],[Data do Caixa Previsto]]))</f>
        <v>2019</v>
      </c>
      <c r="O232" t="str">
        <f ca="1">IF(AND(TbRegistroEntradas[[#This Row],[Data do Caixa Previsto]]&lt;TODAY(),TbRegistroEntradas[[#This Row],[Data do Caixa Realizado]]=""),"Vencida","Não Vencida")</f>
        <v>Não Vencida</v>
      </c>
      <c r="P232" t="str">
        <f>IF(TbRegistroEntradas[[#This Row],[Data da Competência]]=TbRegistroEntradas[[#This Row],[Data do Caixa Previsto]],"Vista","Prazo")</f>
        <v>Prazo</v>
      </c>
      <c r="Q232">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57</v>
      </c>
    </row>
    <row r="233" spans="2:17" x14ac:dyDescent="0.25">
      <c r="B233" s="11">
        <v>43710</v>
      </c>
      <c r="C233" s="11">
        <v>43644</v>
      </c>
      <c r="D233" s="11">
        <v>43662</v>
      </c>
      <c r="E233" t="s">
        <v>24</v>
      </c>
      <c r="F233" t="s">
        <v>34</v>
      </c>
      <c r="G233" t="s">
        <v>287</v>
      </c>
      <c r="H233" s="114">
        <v>1479</v>
      </c>
      <c r="I233">
        <f>IF(TbRegistroEntradas[[#This Row],[Data do Caixa Realizado]]="",0,MONTH(TbRegistroEntradas[[#This Row],[Data do Caixa Realizado]]))</f>
        <v>9</v>
      </c>
      <c r="J233">
        <f>IF(TbRegistroEntradas[[#This Row],[Data do Caixa Realizado]]="",0,YEAR(TbRegistroEntradas[[#This Row],[Data do Caixa Realizado]]))</f>
        <v>2019</v>
      </c>
      <c r="K233">
        <f>IF(TbRegistroEntradas[[#This Row],[Data da Competência]]="",0,MONTH(TbRegistroEntradas[[#This Row],[Data da Competência]]))</f>
        <v>6</v>
      </c>
      <c r="L233">
        <f>IF(TbRegistroEntradas[[#This Row],[Data da Competência]]="",0,YEAR(TbRegistroEntradas[[#This Row],[Data da Competência]]))</f>
        <v>2019</v>
      </c>
      <c r="M233">
        <f>IF(TbRegistroEntradas[[#This Row],[Data do Caixa Previsto]]="",0,MONTH(TbRegistroEntradas[[#This Row],[Data do Caixa Previsto]]))</f>
        <v>7</v>
      </c>
      <c r="N233">
        <f>IF(TbRegistroEntradas[[#This Row],[Data do Caixa Previsto]]="",0,YEAR(TbRegistroEntradas[[#This Row],[Data do Caixa Previsto]]))</f>
        <v>2019</v>
      </c>
      <c r="O233" t="str">
        <f ca="1">IF(AND(TbRegistroEntradas[[#This Row],[Data do Caixa Previsto]]&lt;TODAY(),TbRegistroEntradas[[#This Row],[Data do Caixa Realizado]]=""),"Vencida","Não Vencida")</f>
        <v>Não Vencida</v>
      </c>
      <c r="P233" t="str">
        <f>IF(TbRegistroEntradas[[#This Row],[Data da Competência]]=TbRegistroEntradas[[#This Row],[Data do Caixa Previsto]],"Vista","Prazo")</f>
        <v>Prazo</v>
      </c>
      <c r="Q233">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48</v>
      </c>
    </row>
    <row r="234" spans="2:17" x14ac:dyDescent="0.25">
      <c r="B234" s="11">
        <v>43647</v>
      </c>
      <c r="C234" s="11">
        <v>43645</v>
      </c>
      <c r="D234" s="11">
        <v>43647</v>
      </c>
      <c r="E234" t="s">
        <v>24</v>
      </c>
      <c r="F234" t="s">
        <v>34</v>
      </c>
      <c r="G234" t="s">
        <v>288</v>
      </c>
      <c r="H234" s="114">
        <v>3446</v>
      </c>
      <c r="I234">
        <f>IF(TbRegistroEntradas[[#This Row],[Data do Caixa Realizado]]="",0,MONTH(TbRegistroEntradas[[#This Row],[Data do Caixa Realizado]]))</f>
        <v>7</v>
      </c>
      <c r="J234">
        <f>IF(TbRegistroEntradas[[#This Row],[Data do Caixa Realizado]]="",0,YEAR(TbRegistroEntradas[[#This Row],[Data do Caixa Realizado]]))</f>
        <v>2019</v>
      </c>
      <c r="K234">
        <f>IF(TbRegistroEntradas[[#This Row],[Data da Competência]]="",0,MONTH(TbRegistroEntradas[[#This Row],[Data da Competência]]))</f>
        <v>6</v>
      </c>
      <c r="L234">
        <f>IF(TbRegistroEntradas[[#This Row],[Data da Competência]]="",0,YEAR(TbRegistroEntradas[[#This Row],[Data da Competência]]))</f>
        <v>2019</v>
      </c>
      <c r="M234">
        <f>IF(TbRegistroEntradas[[#This Row],[Data do Caixa Previsto]]="",0,MONTH(TbRegistroEntradas[[#This Row],[Data do Caixa Previsto]]))</f>
        <v>7</v>
      </c>
      <c r="N234">
        <f>IF(TbRegistroEntradas[[#This Row],[Data do Caixa Previsto]]="",0,YEAR(TbRegistroEntradas[[#This Row],[Data do Caixa Previsto]]))</f>
        <v>2019</v>
      </c>
      <c r="O234" t="str">
        <f ca="1">IF(AND(TbRegistroEntradas[[#This Row],[Data do Caixa Previsto]]&lt;TODAY(),TbRegistroEntradas[[#This Row],[Data do Caixa Realizado]]=""),"Vencida","Não Vencida")</f>
        <v>Não Vencida</v>
      </c>
      <c r="P234" t="str">
        <f>IF(TbRegistroEntradas[[#This Row],[Data da Competência]]=TbRegistroEntradas[[#This Row],[Data do Caixa Previsto]],"Vista","Prazo")</f>
        <v>Prazo</v>
      </c>
      <c r="Q234">
        <f ca="1">IF(TbRegistroEntradas[[#This Row],[Data do Caixa Realizado]]&lt;&gt;"",
    IF(TbRegistroEntradas[[#This Row],[Data do Caixa Realizado]]&gt;TbRegistroEntradas[[#This Row],[Data do Caixa Previsto]],
       TbRegistroEntradas[[#This Row],[Data do Caixa Realizado]]-TbRegistroEntradas[[#This Row],[Data do Caixa Previsto]],
        0
    ),
    IF(TODAY()&gt;TbRegistroEntradas[[#This Row],[Data do Caixa Previsto]],
        TODAY()-TbRegistroEntradas[[#This Row],[Data do Caixa Previsto]],
        0
    )
)</f>
        <v>0</v>
      </c>
    </row>
  </sheetData>
  <dataValidations count="2">
    <dataValidation type="list" allowBlank="1" showInputMessage="1" showErrorMessage="1" sqref="E4:E234" xr:uid="{1F4DCE3E-A501-4FF2-8ABE-37C1FE4B0F97}">
      <formula1>PCEntradasN1_Nível_1</formula1>
    </dataValidation>
    <dataValidation type="list" allowBlank="1" showInputMessage="1" showErrorMessage="1" sqref="F4:F234" xr:uid="{1EBC3C1E-5D7B-4C5C-B875-4C32304617BD}">
      <formula1>OFFSET(PCEntradasN2_Nível_2, MATCH(E4, PCEntradasN2_Nível_1, 0)-1, 0, COUNTIF(PCEntradasN2_Nível_1, E4))</formula1>
    </dataValidation>
  </dataValidation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01E33-2BC3-45A2-AC75-BD6BA00B6510}">
  <dimension ref="A1:O232"/>
  <sheetViews>
    <sheetView showGridLines="0" workbookViewId="0">
      <pane ySplit="3" topLeftCell="A9" activePane="bottomLeft" state="frozen"/>
      <selection pane="bottomLeft" activeCell="H9" sqref="H9"/>
    </sheetView>
  </sheetViews>
  <sheetFormatPr defaultColWidth="0" defaultRowHeight="15" x14ac:dyDescent="0.25"/>
  <cols>
    <col min="1" max="1" width="2.7109375" customWidth="1"/>
    <col min="2" max="2" width="18.42578125" style="11" customWidth="1"/>
    <col min="3" max="3" width="16" style="11" customWidth="1"/>
    <col min="4" max="4" width="13.28515625" style="11" customWidth="1"/>
    <col min="5" max="5" width="38.7109375" customWidth="1"/>
    <col min="6" max="6" width="41.5703125" customWidth="1"/>
    <col min="7" max="7" width="37.7109375" customWidth="1"/>
    <col min="8" max="8" width="15.140625" style="14" customWidth="1"/>
    <col min="9" max="9" width="12.42578125" hidden="1" customWidth="1"/>
    <col min="10" max="10" width="12.140625" hidden="1" customWidth="1"/>
    <col min="11" max="12" width="15.5703125" hidden="1" customWidth="1"/>
    <col min="13" max="14" width="10.7109375" hidden="1" customWidth="1"/>
    <col min="15" max="16384" width="9.140625" hidden="1"/>
  </cols>
  <sheetData>
    <row r="1" spans="2:15" ht="39.950000000000003" customHeight="1" x14ac:dyDescent="0.25">
      <c r="B1" s="8" t="s">
        <v>0</v>
      </c>
      <c r="C1" s="9"/>
      <c r="D1" s="9"/>
      <c r="E1" s="1"/>
      <c r="F1" s="1"/>
      <c r="G1" s="1"/>
      <c r="H1" s="12" t="s">
        <v>13</v>
      </c>
    </row>
    <row r="2" spans="2:15" ht="39.950000000000003" customHeight="1" x14ac:dyDescent="0.25">
      <c r="B2" s="10"/>
      <c r="C2" s="10"/>
      <c r="D2" s="10"/>
      <c r="E2" s="3"/>
      <c r="F2" s="3"/>
      <c r="G2" s="3"/>
      <c r="H2" s="13"/>
    </row>
    <row r="3" spans="2:15" ht="42.75" customHeight="1" thickBot="1" x14ac:dyDescent="0.3">
      <c r="B3" s="19" t="s">
        <v>51</v>
      </c>
      <c r="C3" s="19" t="s">
        <v>52</v>
      </c>
      <c r="D3" s="19" t="s">
        <v>53</v>
      </c>
      <c r="E3" s="20" t="s">
        <v>54</v>
      </c>
      <c r="F3" s="20" t="s">
        <v>55</v>
      </c>
      <c r="G3" s="20" t="s">
        <v>56</v>
      </c>
      <c r="H3" s="21" t="s">
        <v>57</v>
      </c>
      <c r="I3" s="20" t="s">
        <v>536</v>
      </c>
      <c r="J3" s="20" t="s">
        <v>537</v>
      </c>
      <c r="K3" s="20" t="s">
        <v>538</v>
      </c>
      <c r="L3" s="20" t="s">
        <v>539</v>
      </c>
      <c r="M3" s="20" t="s">
        <v>545</v>
      </c>
      <c r="N3" s="20" t="s">
        <v>546</v>
      </c>
      <c r="O3" s="20" t="s">
        <v>606</v>
      </c>
    </row>
    <row r="4" spans="2:15" ht="20.100000000000001" customHeight="1" x14ac:dyDescent="0.25">
      <c r="B4" s="11">
        <v>43015.689099944895</v>
      </c>
      <c r="C4" s="11">
        <v>42957</v>
      </c>
      <c r="D4" s="11">
        <v>43015.689099944895</v>
      </c>
      <c r="E4" t="s">
        <v>36</v>
      </c>
      <c r="F4" t="s">
        <v>35</v>
      </c>
      <c r="G4" t="s">
        <v>289</v>
      </c>
      <c r="H4" s="114">
        <v>4021</v>
      </c>
      <c r="I4">
        <f>IF([1]!TbRegistroSaídas[[#This Row],[Data do Caixa Realizado]]="",0,MONTH([1]!TbRegistroSaídas[[#This Row],[Data do Caixa Realizado]]))</f>
        <v>10</v>
      </c>
      <c r="J4">
        <f>IF([1]!TbRegistroSaídas[[#This Row],[Data do Caixa Realizado]]="",0,YEAR([1]!TbRegistroSaídas[[#This Row],[Data do Caixa Realizado]]))</f>
        <v>2017</v>
      </c>
      <c r="K4">
        <f>IF([1]!TbRegistroSaídas[[#This Row],[Data da Competência]]="",0,MONTH([1]!TbRegistroSaídas[[#This Row],[Data da Competência]]))</f>
        <v>8</v>
      </c>
      <c r="L4">
        <f>IF([1]!TbRegistroSaídas[[#This Row],[Data da Competência]]="",0,YEAR([1]!TbRegistroSaídas[[#This Row],[Data da Competência]]))</f>
        <v>2017</v>
      </c>
      <c r="M4">
        <f>IF([1]!TbRegistroSaídas[[#This Row],[Data do Caixa Previsto]]="",0,MONTH([1]!TbRegistroSaídas[[#This Row],[Data do Caixa Previsto]]))</f>
        <v>10</v>
      </c>
      <c r="N4">
        <f>IF([1]!TbRegistroSaídas[[#This Row],[Data do Caixa Previsto]]="",0,YEAR([1]!TbRegistroSaídas[[#This Row],[Data do Caixa Previsto]]))</f>
        <v>2017</v>
      </c>
      <c r="O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5" spans="2:15" ht="20.100000000000001" customHeight="1" x14ac:dyDescent="0.25">
      <c r="B5" s="11">
        <v>42995.83151981284</v>
      </c>
      <c r="C5" s="11">
        <v>42960</v>
      </c>
      <c r="D5" s="11">
        <v>42995.83151981284</v>
      </c>
      <c r="E5" t="s">
        <v>36</v>
      </c>
      <c r="F5" t="s">
        <v>43</v>
      </c>
      <c r="G5" t="s">
        <v>290</v>
      </c>
      <c r="H5" s="114">
        <v>651</v>
      </c>
      <c r="I5">
        <f>IF([1]!TbRegistroSaídas[[#This Row],[Data do Caixa Realizado]]="",0,MONTH([1]!TbRegistroSaídas[[#This Row],[Data do Caixa Realizado]]))</f>
        <v>9</v>
      </c>
      <c r="J5">
        <f>IF([1]!TbRegistroSaídas[[#This Row],[Data do Caixa Realizado]]="",0,YEAR([1]!TbRegistroSaídas[[#This Row],[Data do Caixa Realizado]]))</f>
        <v>2017</v>
      </c>
      <c r="K5">
        <f>IF([1]!TbRegistroSaídas[[#This Row],[Data da Competência]]="",0,MONTH([1]!TbRegistroSaídas[[#This Row],[Data da Competência]]))</f>
        <v>8</v>
      </c>
      <c r="L5">
        <f>IF([1]!TbRegistroSaídas[[#This Row],[Data da Competência]]="",0,YEAR([1]!TbRegistroSaídas[[#This Row],[Data da Competência]]))</f>
        <v>2017</v>
      </c>
      <c r="M5">
        <f>IF([1]!TbRegistroSaídas[[#This Row],[Data do Caixa Previsto]]="",0,MONTH([1]!TbRegistroSaídas[[#This Row],[Data do Caixa Previsto]]))</f>
        <v>9</v>
      </c>
      <c r="N5">
        <f>IF([1]!TbRegistroSaídas[[#This Row],[Data do Caixa Previsto]]="",0,YEAR([1]!TbRegistroSaídas[[#This Row],[Data do Caixa Previsto]]))</f>
        <v>2017</v>
      </c>
      <c r="O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6" spans="2:15" ht="20.100000000000001" customHeight="1" x14ac:dyDescent="0.25">
      <c r="B6" s="11">
        <v>42983.821864178215</v>
      </c>
      <c r="C6" s="11">
        <v>42965</v>
      </c>
      <c r="D6" s="11">
        <v>42983.821864178215</v>
      </c>
      <c r="E6" t="s">
        <v>36</v>
      </c>
      <c r="F6" t="s">
        <v>35</v>
      </c>
      <c r="G6" t="s">
        <v>291</v>
      </c>
      <c r="H6" s="114">
        <v>131</v>
      </c>
      <c r="I6">
        <f>IF([1]!TbRegistroSaídas[[#This Row],[Data do Caixa Realizado]]="",0,MONTH([1]!TbRegistroSaídas[[#This Row],[Data do Caixa Realizado]]))</f>
        <v>9</v>
      </c>
      <c r="J6">
        <f>IF([1]!TbRegistroSaídas[[#This Row],[Data do Caixa Realizado]]="",0,YEAR([1]!TbRegistroSaídas[[#This Row],[Data do Caixa Realizado]]))</f>
        <v>2017</v>
      </c>
      <c r="K6">
        <f>IF([1]!TbRegistroSaídas[[#This Row],[Data da Competência]]="",0,MONTH([1]!TbRegistroSaídas[[#This Row],[Data da Competência]]))</f>
        <v>8</v>
      </c>
      <c r="L6">
        <f>IF([1]!TbRegistroSaídas[[#This Row],[Data da Competência]]="",0,YEAR([1]!TbRegistroSaídas[[#This Row],[Data da Competência]]))</f>
        <v>2017</v>
      </c>
      <c r="M6">
        <f>IF([1]!TbRegistroSaídas[[#This Row],[Data do Caixa Previsto]]="",0,MONTH([1]!TbRegistroSaídas[[#This Row],[Data do Caixa Previsto]]))</f>
        <v>9</v>
      </c>
      <c r="N6">
        <f>IF([1]!TbRegistroSaídas[[#This Row],[Data do Caixa Previsto]]="",0,YEAR([1]!TbRegistroSaídas[[#This Row],[Data do Caixa Previsto]]))</f>
        <v>2017</v>
      </c>
      <c r="O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7" spans="2:15" ht="20.100000000000001" customHeight="1" x14ac:dyDescent="0.25">
      <c r="B7" s="11">
        <v>43004.400385589004</v>
      </c>
      <c r="C7" s="11">
        <v>42970</v>
      </c>
      <c r="D7" s="11">
        <v>43004.400385589004</v>
      </c>
      <c r="E7" t="s">
        <v>36</v>
      </c>
      <c r="F7" t="s">
        <v>35</v>
      </c>
      <c r="G7" t="s">
        <v>292</v>
      </c>
      <c r="H7" s="114">
        <v>803</v>
      </c>
      <c r="I7">
        <f>IF([1]!TbRegistroSaídas[[#This Row],[Data do Caixa Realizado]]="",0,MONTH([1]!TbRegistroSaídas[[#This Row],[Data do Caixa Realizado]]))</f>
        <v>9</v>
      </c>
      <c r="J7">
        <f>IF([1]!TbRegistroSaídas[[#This Row],[Data do Caixa Realizado]]="",0,YEAR([1]!TbRegistroSaídas[[#This Row],[Data do Caixa Realizado]]))</f>
        <v>2017</v>
      </c>
      <c r="K7">
        <f>IF([1]!TbRegistroSaídas[[#This Row],[Data da Competência]]="",0,MONTH([1]!TbRegistroSaídas[[#This Row],[Data da Competência]]))</f>
        <v>8</v>
      </c>
      <c r="L7">
        <f>IF([1]!TbRegistroSaídas[[#This Row],[Data da Competência]]="",0,YEAR([1]!TbRegistroSaídas[[#This Row],[Data da Competência]]))</f>
        <v>2017</v>
      </c>
      <c r="M7">
        <f>IF([1]!TbRegistroSaídas[[#This Row],[Data do Caixa Previsto]]="",0,MONTH([1]!TbRegistroSaídas[[#This Row],[Data do Caixa Previsto]]))</f>
        <v>9</v>
      </c>
      <c r="N7">
        <f>IF([1]!TbRegistroSaídas[[#This Row],[Data do Caixa Previsto]]="",0,YEAR([1]!TbRegistroSaídas[[#This Row],[Data do Caixa Previsto]]))</f>
        <v>2017</v>
      </c>
      <c r="O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8" spans="2:15" ht="20.100000000000001" customHeight="1" x14ac:dyDescent="0.25">
      <c r="B8" s="11">
        <v>43002.058153394239</v>
      </c>
      <c r="C8" s="11">
        <v>42971</v>
      </c>
      <c r="D8" s="11">
        <v>43002.058153394239</v>
      </c>
      <c r="E8" t="s">
        <v>36</v>
      </c>
      <c r="F8" t="s">
        <v>43</v>
      </c>
      <c r="G8" t="s">
        <v>293</v>
      </c>
      <c r="H8" s="114">
        <v>4460</v>
      </c>
      <c r="I8">
        <f>IF([1]!TbRegistroSaídas[[#This Row],[Data do Caixa Realizado]]="",0,MONTH([1]!TbRegistroSaídas[[#This Row],[Data do Caixa Realizado]]))</f>
        <v>9</v>
      </c>
      <c r="J8">
        <f>IF([1]!TbRegistroSaídas[[#This Row],[Data do Caixa Realizado]]="",0,YEAR([1]!TbRegistroSaídas[[#This Row],[Data do Caixa Realizado]]))</f>
        <v>2017</v>
      </c>
      <c r="K8">
        <f>IF([1]!TbRegistroSaídas[[#This Row],[Data da Competência]]="",0,MONTH([1]!TbRegistroSaídas[[#This Row],[Data da Competência]]))</f>
        <v>8</v>
      </c>
      <c r="L8">
        <f>IF([1]!TbRegistroSaídas[[#This Row],[Data da Competência]]="",0,YEAR([1]!TbRegistroSaídas[[#This Row],[Data da Competência]]))</f>
        <v>2017</v>
      </c>
      <c r="M8">
        <f>IF([1]!TbRegistroSaídas[[#This Row],[Data do Caixa Previsto]]="",0,MONTH([1]!TbRegistroSaídas[[#This Row],[Data do Caixa Previsto]]))</f>
        <v>9</v>
      </c>
      <c r="N8">
        <f>IF([1]!TbRegistroSaídas[[#This Row],[Data do Caixa Previsto]]="",0,YEAR([1]!TbRegistroSaídas[[#This Row],[Data do Caixa Previsto]]))</f>
        <v>2017</v>
      </c>
      <c r="O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9" spans="2:15" ht="20.100000000000001" customHeight="1" x14ac:dyDescent="0.25">
      <c r="B9" s="11">
        <v>42980.358785052202</v>
      </c>
      <c r="C9" s="11">
        <v>42972</v>
      </c>
      <c r="D9" s="11">
        <v>42980.358785052202</v>
      </c>
      <c r="E9" t="s">
        <v>36</v>
      </c>
      <c r="F9" t="s">
        <v>32</v>
      </c>
      <c r="G9" t="s">
        <v>294</v>
      </c>
      <c r="H9" s="114">
        <v>299</v>
      </c>
      <c r="I9">
        <f>IF([1]!TbRegistroSaídas[[#This Row],[Data do Caixa Realizado]]="",0,MONTH([1]!TbRegistroSaídas[[#This Row],[Data do Caixa Realizado]]))</f>
        <v>9</v>
      </c>
      <c r="J9">
        <f>IF([1]!TbRegistroSaídas[[#This Row],[Data do Caixa Realizado]]="",0,YEAR([1]!TbRegistroSaídas[[#This Row],[Data do Caixa Realizado]]))</f>
        <v>2017</v>
      </c>
      <c r="K9">
        <f>IF([1]!TbRegistroSaídas[[#This Row],[Data da Competência]]="",0,MONTH([1]!TbRegistroSaídas[[#This Row],[Data da Competência]]))</f>
        <v>8</v>
      </c>
      <c r="L9">
        <f>IF([1]!TbRegistroSaídas[[#This Row],[Data da Competência]]="",0,YEAR([1]!TbRegistroSaídas[[#This Row],[Data da Competência]]))</f>
        <v>2017</v>
      </c>
      <c r="M9">
        <f>IF([1]!TbRegistroSaídas[[#This Row],[Data do Caixa Previsto]]="",0,MONTH([1]!TbRegistroSaídas[[#This Row],[Data do Caixa Previsto]]))</f>
        <v>9</v>
      </c>
      <c r="N9">
        <f>IF([1]!TbRegistroSaídas[[#This Row],[Data do Caixa Previsto]]="",0,YEAR([1]!TbRegistroSaídas[[#This Row],[Data do Caixa Previsto]]))</f>
        <v>2017</v>
      </c>
      <c r="O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0" spans="2:15" ht="20.100000000000001" customHeight="1" x14ac:dyDescent="0.25">
      <c r="B10" s="11">
        <v>43014.597468673528</v>
      </c>
      <c r="C10" s="11">
        <v>42976</v>
      </c>
      <c r="D10" s="11">
        <v>43014.597468673528</v>
      </c>
      <c r="E10" t="s">
        <v>36</v>
      </c>
      <c r="F10" t="s">
        <v>43</v>
      </c>
      <c r="G10" t="s">
        <v>295</v>
      </c>
      <c r="H10" s="114">
        <v>618</v>
      </c>
      <c r="I10">
        <f>IF([1]!TbRegistroSaídas[[#This Row],[Data do Caixa Realizado]]="",0,MONTH([1]!TbRegistroSaídas[[#This Row],[Data do Caixa Realizado]]))</f>
        <v>10</v>
      </c>
      <c r="J10">
        <f>IF([1]!TbRegistroSaídas[[#This Row],[Data do Caixa Realizado]]="",0,YEAR([1]!TbRegistroSaídas[[#This Row],[Data do Caixa Realizado]]))</f>
        <v>2017</v>
      </c>
      <c r="K10">
        <f>IF([1]!TbRegistroSaídas[[#This Row],[Data da Competência]]="",0,MONTH([1]!TbRegistroSaídas[[#This Row],[Data da Competência]]))</f>
        <v>8</v>
      </c>
      <c r="L10">
        <f>IF([1]!TbRegistroSaídas[[#This Row],[Data da Competência]]="",0,YEAR([1]!TbRegistroSaídas[[#This Row],[Data da Competência]]))</f>
        <v>2017</v>
      </c>
      <c r="M10">
        <f>IF([1]!TbRegistroSaídas[[#This Row],[Data do Caixa Previsto]]="",0,MONTH([1]!TbRegistroSaídas[[#This Row],[Data do Caixa Previsto]]))</f>
        <v>10</v>
      </c>
      <c r="N10">
        <f>IF([1]!TbRegistroSaídas[[#This Row],[Data do Caixa Previsto]]="",0,YEAR([1]!TbRegistroSaídas[[#This Row],[Data do Caixa Previsto]]))</f>
        <v>2017</v>
      </c>
      <c r="O1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1" spans="2:15" ht="20.100000000000001" customHeight="1" x14ac:dyDescent="0.25">
      <c r="B11" s="11">
        <v>42990.1117348099</v>
      </c>
      <c r="C11" s="11">
        <v>42979</v>
      </c>
      <c r="D11" s="11">
        <v>42980.556611132772</v>
      </c>
      <c r="E11" t="s">
        <v>36</v>
      </c>
      <c r="F11" t="s">
        <v>43</v>
      </c>
      <c r="G11" t="s">
        <v>115</v>
      </c>
      <c r="H11" s="114">
        <v>2505</v>
      </c>
      <c r="I11">
        <f>IF([1]!TbRegistroSaídas[[#This Row],[Data do Caixa Realizado]]="",0,MONTH([1]!TbRegistroSaídas[[#This Row],[Data do Caixa Realizado]]))</f>
        <v>9</v>
      </c>
      <c r="J11">
        <f>IF([1]!TbRegistroSaídas[[#This Row],[Data do Caixa Realizado]]="",0,YEAR([1]!TbRegistroSaídas[[#This Row],[Data do Caixa Realizado]]))</f>
        <v>2017</v>
      </c>
      <c r="K11">
        <f>IF([1]!TbRegistroSaídas[[#This Row],[Data da Competência]]="",0,MONTH([1]!TbRegistroSaídas[[#This Row],[Data da Competência]]))</f>
        <v>9</v>
      </c>
      <c r="L11">
        <f>IF([1]!TbRegistroSaídas[[#This Row],[Data da Competência]]="",0,YEAR([1]!TbRegistroSaídas[[#This Row],[Data da Competência]]))</f>
        <v>2017</v>
      </c>
      <c r="M11">
        <f>IF([1]!TbRegistroSaídas[[#This Row],[Data do Caixa Previsto]]="",0,MONTH([1]!TbRegistroSaídas[[#This Row],[Data do Caixa Previsto]]))</f>
        <v>9</v>
      </c>
      <c r="N11">
        <f>IF([1]!TbRegistroSaídas[[#This Row],[Data do Caixa Previsto]]="",0,YEAR([1]!TbRegistroSaídas[[#This Row],[Data do Caixa Previsto]]))</f>
        <v>2017</v>
      </c>
      <c r="O1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9.5551236771279946</v>
      </c>
    </row>
    <row r="12" spans="2:15" ht="20.100000000000001" customHeight="1" x14ac:dyDescent="0.25">
      <c r="B12" s="11">
        <v>42987.417576127409</v>
      </c>
      <c r="C12" s="11">
        <v>42982</v>
      </c>
      <c r="D12" s="11">
        <v>42987.417576127409</v>
      </c>
      <c r="E12" t="s">
        <v>36</v>
      </c>
      <c r="F12" t="s">
        <v>35</v>
      </c>
      <c r="G12" t="s">
        <v>296</v>
      </c>
      <c r="H12" s="114">
        <v>817</v>
      </c>
      <c r="I12">
        <f>IF([1]!TbRegistroSaídas[[#This Row],[Data do Caixa Realizado]]="",0,MONTH([1]!TbRegistroSaídas[[#This Row],[Data do Caixa Realizado]]))</f>
        <v>9</v>
      </c>
      <c r="J12">
        <f>IF([1]!TbRegistroSaídas[[#This Row],[Data do Caixa Realizado]]="",0,YEAR([1]!TbRegistroSaídas[[#This Row],[Data do Caixa Realizado]]))</f>
        <v>2017</v>
      </c>
      <c r="K12">
        <f>IF([1]!TbRegistroSaídas[[#This Row],[Data da Competência]]="",0,MONTH([1]!TbRegistroSaídas[[#This Row],[Data da Competência]]))</f>
        <v>9</v>
      </c>
      <c r="L12">
        <f>IF([1]!TbRegistroSaídas[[#This Row],[Data da Competência]]="",0,YEAR([1]!TbRegistroSaídas[[#This Row],[Data da Competência]]))</f>
        <v>2017</v>
      </c>
      <c r="M12">
        <f>IF([1]!TbRegistroSaídas[[#This Row],[Data do Caixa Previsto]]="",0,MONTH([1]!TbRegistroSaídas[[#This Row],[Data do Caixa Previsto]]))</f>
        <v>9</v>
      </c>
      <c r="N12">
        <f>IF([1]!TbRegistroSaídas[[#This Row],[Data do Caixa Previsto]]="",0,YEAR([1]!TbRegistroSaídas[[#This Row],[Data do Caixa Previsto]]))</f>
        <v>2017</v>
      </c>
      <c r="O1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3" spans="2:15" ht="20.100000000000001" customHeight="1" x14ac:dyDescent="0.25">
      <c r="B13" s="11" t="s">
        <v>68</v>
      </c>
      <c r="C13" s="11">
        <v>42984</v>
      </c>
      <c r="D13" s="11">
        <v>42984.703005901203</v>
      </c>
      <c r="E13" t="s">
        <v>36</v>
      </c>
      <c r="F13" t="s">
        <v>32</v>
      </c>
      <c r="G13" t="s">
        <v>297</v>
      </c>
      <c r="H13" s="114">
        <v>1565</v>
      </c>
      <c r="I13">
        <f>IF([1]!TbRegistroSaídas[[#This Row],[Data do Caixa Realizado]]="",0,MONTH([1]!TbRegistroSaídas[[#This Row],[Data do Caixa Realizado]]))</f>
        <v>0</v>
      </c>
      <c r="J13">
        <f>IF([1]!TbRegistroSaídas[[#This Row],[Data do Caixa Realizado]]="",0,YEAR([1]!TbRegistroSaídas[[#This Row],[Data do Caixa Realizado]]))</f>
        <v>0</v>
      </c>
      <c r="K13">
        <f>IF([1]!TbRegistroSaídas[[#This Row],[Data da Competência]]="",0,MONTH([1]!TbRegistroSaídas[[#This Row],[Data da Competência]]))</f>
        <v>9</v>
      </c>
      <c r="L13">
        <f>IF([1]!TbRegistroSaídas[[#This Row],[Data da Competência]]="",0,YEAR([1]!TbRegistroSaídas[[#This Row],[Data da Competência]]))</f>
        <v>2017</v>
      </c>
      <c r="M13">
        <f>IF([1]!TbRegistroSaídas[[#This Row],[Data do Caixa Previsto]]="",0,MONTH([1]!TbRegistroSaídas[[#This Row],[Data do Caixa Previsto]]))</f>
        <v>9</v>
      </c>
      <c r="N13">
        <f>IF([1]!TbRegistroSaídas[[#This Row],[Data do Caixa Previsto]]="",0,YEAR([1]!TbRegistroSaídas[[#This Row],[Data do Caixa Previsto]]))</f>
        <v>2017</v>
      </c>
      <c r="O1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2368.2969940987969</v>
      </c>
    </row>
    <row r="14" spans="2:15" ht="20.100000000000001" customHeight="1" x14ac:dyDescent="0.25">
      <c r="B14" s="11" t="s">
        <v>68</v>
      </c>
      <c r="C14" s="11">
        <v>42990</v>
      </c>
      <c r="D14" s="11">
        <v>43020.233591992961</v>
      </c>
      <c r="E14" t="s">
        <v>36</v>
      </c>
      <c r="F14" t="s">
        <v>33</v>
      </c>
      <c r="G14" t="s">
        <v>298</v>
      </c>
      <c r="H14" s="114">
        <v>1357</v>
      </c>
      <c r="I14">
        <f>IF([1]!TbRegistroSaídas[[#This Row],[Data do Caixa Realizado]]="",0,MONTH([1]!TbRegistroSaídas[[#This Row],[Data do Caixa Realizado]]))</f>
        <v>0</v>
      </c>
      <c r="J14">
        <f>IF([1]!TbRegistroSaídas[[#This Row],[Data do Caixa Realizado]]="",0,YEAR([1]!TbRegistroSaídas[[#This Row],[Data do Caixa Realizado]]))</f>
        <v>0</v>
      </c>
      <c r="K14">
        <f>IF([1]!TbRegistroSaídas[[#This Row],[Data da Competência]]="",0,MONTH([1]!TbRegistroSaídas[[#This Row],[Data da Competência]]))</f>
        <v>9</v>
      </c>
      <c r="L14">
        <f>IF([1]!TbRegistroSaídas[[#This Row],[Data da Competência]]="",0,YEAR([1]!TbRegistroSaídas[[#This Row],[Data da Competência]]))</f>
        <v>2017</v>
      </c>
      <c r="M14">
        <f>IF([1]!TbRegistroSaídas[[#This Row],[Data do Caixa Previsto]]="",0,MONTH([1]!TbRegistroSaídas[[#This Row],[Data do Caixa Previsto]]))</f>
        <v>10</v>
      </c>
      <c r="N14">
        <f>IF([1]!TbRegistroSaídas[[#This Row],[Data do Caixa Previsto]]="",0,YEAR([1]!TbRegistroSaídas[[#This Row],[Data do Caixa Previsto]]))</f>
        <v>2017</v>
      </c>
      <c r="O1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2332.766408007039</v>
      </c>
    </row>
    <row r="15" spans="2:15" ht="20.100000000000001" customHeight="1" x14ac:dyDescent="0.25">
      <c r="B15" s="11">
        <v>42991</v>
      </c>
      <c r="C15" s="11">
        <v>42991</v>
      </c>
      <c r="D15" s="11">
        <v>42991</v>
      </c>
      <c r="E15" t="s">
        <v>36</v>
      </c>
      <c r="F15" t="s">
        <v>33</v>
      </c>
      <c r="G15" t="s">
        <v>299</v>
      </c>
      <c r="H15" s="114">
        <v>4739</v>
      </c>
      <c r="I15">
        <f>IF([1]!TbRegistroSaídas[[#This Row],[Data do Caixa Realizado]]="",0,MONTH([1]!TbRegistroSaídas[[#This Row],[Data do Caixa Realizado]]))</f>
        <v>9</v>
      </c>
      <c r="J15">
        <f>IF([1]!TbRegistroSaídas[[#This Row],[Data do Caixa Realizado]]="",0,YEAR([1]!TbRegistroSaídas[[#This Row],[Data do Caixa Realizado]]))</f>
        <v>2017</v>
      </c>
      <c r="K15">
        <f>IF([1]!TbRegistroSaídas[[#This Row],[Data da Competência]]="",0,MONTH([1]!TbRegistroSaídas[[#This Row],[Data da Competência]]))</f>
        <v>9</v>
      </c>
      <c r="L15">
        <f>IF([1]!TbRegistroSaídas[[#This Row],[Data da Competência]]="",0,YEAR([1]!TbRegistroSaídas[[#This Row],[Data da Competência]]))</f>
        <v>2017</v>
      </c>
      <c r="M15">
        <f>IF([1]!TbRegistroSaídas[[#This Row],[Data do Caixa Previsto]]="",0,MONTH([1]!TbRegistroSaídas[[#This Row],[Data do Caixa Previsto]]))</f>
        <v>9</v>
      </c>
      <c r="N15">
        <f>IF([1]!TbRegistroSaídas[[#This Row],[Data do Caixa Previsto]]="",0,YEAR([1]!TbRegistroSaídas[[#This Row],[Data do Caixa Previsto]]))</f>
        <v>2017</v>
      </c>
      <c r="O1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6" spans="2:15" ht="20.100000000000001" customHeight="1" x14ac:dyDescent="0.25">
      <c r="B16" s="11">
        <v>42992</v>
      </c>
      <c r="C16" s="11">
        <v>42992</v>
      </c>
      <c r="D16" s="11">
        <v>42992</v>
      </c>
      <c r="E16" t="s">
        <v>36</v>
      </c>
      <c r="F16" t="s">
        <v>35</v>
      </c>
      <c r="G16" t="s">
        <v>300</v>
      </c>
      <c r="H16" s="114">
        <v>4675</v>
      </c>
      <c r="I16">
        <f>IF([1]!TbRegistroSaídas[[#This Row],[Data do Caixa Realizado]]="",0,MONTH([1]!TbRegistroSaídas[[#This Row],[Data do Caixa Realizado]]))</f>
        <v>9</v>
      </c>
      <c r="J16">
        <f>IF([1]!TbRegistroSaídas[[#This Row],[Data do Caixa Realizado]]="",0,YEAR([1]!TbRegistroSaídas[[#This Row],[Data do Caixa Realizado]]))</f>
        <v>2017</v>
      </c>
      <c r="K16">
        <f>IF([1]!TbRegistroSaídas[[#This Row],[Data da Competência]]="",0,MONTH([1]!TbRegistroSaídas[[#This Row],[Data da Competência]]))</f>
        <v>9</v>
      </c>
      <c r="L16">
        <f>IF([1]!TbRegistroSaídas[[#This Row],[Data da Competência]]="",0,YEAR([1]!TbRegistroSaídas[[#This Row],[Data da Competência]]))</f>
        <v>2017</v>
      </c>
      <c r="M16">
        <f>IF([1]!TbRegistroSaídas[[#This Row],[Data do Caixa Previsto]]="",0,MONTH([1]!TbRegistroSaídas[[#This Row],[Data do Caixa Previsto]]))</f>
        <v>9</v>
      </c>
      <c r="N16">
        <f>IF([1]!TbRegistroSaídas[[#This Row],[Data do Caixa Previsto]]="",0,YEAR([1]!TbRegistroSaídas[[#This Row],[Data do Caixa Previsto]]))</f>
        <v>2017</v>
      </c>
      <c r="O1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7" spans="2:15" ht="20.100000000000001" customHeight="1" x14ac:dyDescent="0.25">
      <c r="B17" s="11">
        <v>43004.132052173023</v>
      </c>
      <c r="C17" s="11">
        <v>42997</v>
      </c>
      <c r="D17" s="11">
        <v>43004.132052173023</v>
      </c>
      <c r="E17" t="s">
        <v>36</v>
      </c>
      <c r="F17" t="s">
        <v>43</v>
      </c>
      <c r="G17" t="s">
        <v>301</v>
      </c>
      <c r="H17" s="114">
        <v>1797</v>
      </c>
      <c r="I17">
        <f>IF([1]!TbRegistroSaídas[[#This Row],[Data do Caixa Realizado]]="",0,MONTH([1]!TbRegistroSaídas[[#This Row],[Data do Caixa Realizado]]))</f>
        <v>9</v>
      </c>
      <c r="J17">
        <f>IF([1]!TbRegistroSaídas[[#This Row],[Data do Caixa Realizado]]="",0,YEAR([1]!TbRegistroSaídas[[#This Row],[Data do Caixa Realizado]]))</f>
        <v>2017</v>
      </c>
      <c r="K17">
        <f>IF([1]!TbRegistroSaídas[[#This Row],[Data da Competência]]="",0,MONTH([1]!TbRegistroSaídas[[#This Row],[Data da Competência]]))</f>
        <v>9</v>
      </c>
      <c r="L17">
        <f>IF([1]!TbRegistroSaídas[[#This Row],[Data da Competência]]="",0,YEAR([1]!TbRegistroSaídas[[#This Row],[Data da Competência]]))</f>
        <v>2017</v>
      </c>
      <c r="M17">
        <f>IF([1]!TbRegistroSaídas[[#This Row],[Data do Caixa Previsto]]="",0,MONTH([1]!TbRegistroSaídas[[#This Row],[Data do Caixa Previsto]]))</f>
        <v>9</v>
      </c>
      <c r="N17">
        <f>IF([1]!TbRegistroSaídas[[#This Row],[Data do Caixa Previsto]]="",0,YEAR([1]!TbRegistroSaídas[[#This Row],[Data do Caixa Previsto]]))</f>
        <v>2017</v>
      </c>
      <c r="O1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8" spans="2:15" x14ac:dyDescent="0.25">
      <c r="B18" s="11">
        <v>43043.977578613987</v>
      </c>
      <c r="C18" s="11">
        <v>43002</v>
      </c>
      <c r="D18" s="11">
        <v>43043.977578613987</v>
      </c>
      <c r="E18" t="s">
        <v>36</v>
      </c>
      <c r="F18" t="s">
        <v>33</v>
      </c>
      <c r="G18" t="s">
        <v>302</v>
      </c>
      <c r="H18" s="114">
        <v>888</v>
      </c>
      <c r="I18">
        <f>IF([1]!TbRegistroSaídas[[#This Row],[Data do Caixa Realizado]]="",0,MONTH([1]!TbRegistroSaídas[[#This Row],[Data do Caixa Realizado]]))</f>
        <v>11</v>
      </c>
      <c r="J18">
        <f>IF([1]!TbRegistroSaídas[[#This Row],[Data do Caixa Realizado]]="",0,YEAR([1]!TbRegistroSaídas[[#This Row],[Data do Caixa Realizado]]))</f>
        <v>2017</v>
      </c>
      <c r="K18">
        <f>IF([1]!TbRegistroSaídas[[#This Row],[Data da Competência]]="",0,MONTH([1]!TbRegistroSaídas[[#This Row],[Data da Competência]]))</f>
        <v>9</v>
      </c>
      <c r="L18">
        <f>IF([1]!TbRegistroSaídas[[#This Row],[Data da Competência]]="",0,YEAR([1]!TbRegistroSaídas[[#This Row],[Data da Competência]]))</f>
        <v>2017</v>
      </c>
      <c r="M18">
        <f>IF([1]!TbRegistroSaídas[[#This Row],[Data do Caixa Previsto]]="",0,MONTH([1]!TbRegistroSaídas[[#This Row],[Data do Caixa Previsto]]))</f>
        <v>11</v>
      </c>
      <c r="N18">
        <f>IF([1]!TbRegistroSaídas[[#This Row],[Data do Caixa Previsto]]="",0,YEAR([1]!TbRegistroSaídas[[#This Row],[Data do Caixa Previsto]]))</f>
        <v>2017</v>
      </c>
      <c r="O1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9" spans="2:15" x14ac:dyDescent="0.25">
      <c r="B19" s="11" t="s">
        <v>68</v>
      </c>
      <c r="C19" s="11">
        <v>43003</v>
      </c>
      <c r="D19" s="11">
        <v>43015.898045269183</v>
      </c>
      <c r="E19" t="s">
        <v>36</v>
      </c>
      <c r="F19" t="s">
        <v>43</v>
      </c>
      <c r="G19" t="s">
        <v>303</v>
      </c>
      <c r="H19" s="114">
        <v>2784</v>
      </c>
      <c r="I19">
        <f>IF([1]!TbRegistroSaídas[[#This Row],[Data do Caixa Realizado]]="",0,MONTH([1]!TbRegistroSaídas[[#This Row],[Data do Caixa Realizado]]))</f>
        <v>0</v>
      </c>
      <c r="J19">
        <f>IF([1]!TbRegistroSaídas[[#This Row],[Data do Caixa Realizado]]="",0,YEAR([1]!TbRegistroSaídas[[#This Row],[Data do Caixa Realizado]]))</f>
        <v>0</v>
      </c>
      <c r="K19">
        <f>IF([1]!TbRegistroSaídas[[#This Row],[Data da Competência]]="",0,MONTH([1]!TbRegistroSaídas[[#This Row],[Data da Competência]]))</f>
        <v>9</v>
      </c>
      <c r="L19">
        <f>IF([1]!TbRegistroSaídas[[#This Row],[Data da Competência]]="",0,YEAR([1]!TbRegistroSaídas[[#This Row],[Data da Competência]]))</f>
        <v>2017</v>
      </c>
      <c r="M19">
        <f>IF([1]!TbRegistroSaídas[[#This Row],[Data do Caixa Previsto]]="",0,MONTH([1]!TbRegistroSaídas[[#This Row],[Data do Caixa Previsto]]))</f>
        <v>10</v>
      </c>
      <c r="N19">
        <f>IF([1]!TbRegistroSaídas[[#This Row],[Data do Caixa Previsto]]="",0,YEAR([1]!TbRegistroSaídas[[#This Row],[Data do Caixa Previsto]]))</f>
        <v>2017</v>
      </c>
      <c r="O1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2337.1019547308169</v>
      </c>
    </row>
    <row r="20" spans="2:15" x14ac:dyDescent="0.25">
      <c r="B20" s="11">
        <v>43010.944524159138</v>
      </c>
      <c r="C20" s="11">
        <v>43003</v>
      </c>
      <c r="D20" s="11">
        <v>43010.944524159138</v>
      </c>
      <c r="E20" t="s">
        <v>36</v>
      </c>
      <c r="F20" t="s">
        <v>32</v>
      </c>
      <c r="G20" t="s">
        <v>304</v>
      </c>
      <c r="H20" s="114">
        <v>707</v>
      </c>
      <c r="I20">
        <f>IF([1]!TbRegistroSaídas[[#This Row],[Data do Caixa Realizado]]="",0,MONTH([1]!TbRegistroSaídas[[#This Row],[Data do Caixa Realizado]]))</f>
        <v>10</v>
      </c>
      <c r="J20">
        <f>IF([1]!TbRegistroSaídas[[#This Row],[Data do Caixa Realizado]]="",0,YEAR([1]!TbRegistroSaídas[[#This Row],[Data do Caixa Realizado]]))</f>
        <v>2017</v>
      </c>
      <c r="K20">
        <f>IF([1]!TbRegistroSaídas[[#This Row],[Data da Competência]]="",0,MONTH([1]!TbRegistroSaídas[[#This Row],[Data da Competência]]))</f>
        <v>9</v>
      </c>
      <c r="L20">
        <f>IF([1]!TbRegistroSaídas[[#This Row],[Data da Competência]]="",0,YEAR([1]!TbRegistroSaídas[[#This Row],[Data da Competência]]))</f>
        <v>2017</v>
      </c>
      <c r="M20">
        <f>IF([1]!TbRegistroSaídas[[#This Row],[Data do Caixa Previsto]]="",0,MONTH([1]!TbRegistroSaídas[[#This Row],[Data do Caixa Previsto]]))</f>
        <v>10</v>
      </c>
      <c r="N20">
        <f>IF([1]!TbRegistroSaídas[[#This Row],[Data do Caixa Previsto]]="",0,YEAR([1]!TbRegistroSaídas[[#This Row],[Data do Caixa Previsto]]))</f>
        <v>2017</v>
      </c>
      <c r="O2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1" spans="2:15" x14ac:dyDescent="0.25">
      <c r="B21" s="11">
        <v>43042.600768911587</v>
      </c>
      <c r="C21" s="11">
        <v>43006</v>
      </c>
      <c r="D21" s="11">
        <v>43042.600768911587</v>
      </c>
      <c r="E21" t="s">
        <v>36</v>
      </c>
      <c r="F21" t="s">
        <v>32</v>
      </c>
      <c r="G21" t="s">
        <v>305</v>
      </c>
      <c r="H21" s="114">
        <v>229</v>
      </c>
      <c r="I21">
        <f>IF([1]!TbRegistroSaídas[[#This Row],[Data do Caixa Realizado]]="",0,MONTH([1]!TbRegistroSaídas[[#This Row],[Data do Caixa Realizado]]))</f>
        <v>11</v>
      </c>
      <c r="J21">
        <f>IF([1]!TbRegistroSaídas[[#This Row],[Data do Caixa Realizado]]="",0,YEAR([1]!TbRegistroSaídas[[#This Row],[Data do Caixa Realizado]]))</f>
        <v>2017</v>
      </c>
      <c r="K21">
        <f>IF([1]!TbRegistroSaídas[[#This Row],[Data da Competência]]="",0,MONTH([1]!TbRegistroSaídas[[#This Row],[Data da Competência]]))</f>
        <v>9</v>
      </c>
      <c r="L21">
        <f>IF([1]!TbRegistroSaídas[[#This Row],[Data da Competência]]="",0,YEAR([1]!TbRegistroSaídas[[#This Row],[Data da Competência]]))</f>
        <v>2017</v>
      </c>
      <c r="M21">
        <f>IF([1]!TbRegistroSaídas[[#This Row],[Data do Caixa Previsto]]="",0,MONTH([1]!TbRegistroSaídas[[#This Row],[Data do Caixa Previsto]]))</f>
        <v>11</v>
      </c>
      <c r="N21">
        <f>IF([1]!TbRegistroSaídas[[#This Row],[Data do Caixa Previsto]]="",0,YEAR([1]!TbRegistroSaídas[[#This Row],[Data do Caixa Previsto]]))</f>
        <v>2017</v>
      </c>
      <c r="O2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2" spans="2:15" x14ac:dyDescent="0.25">
      <c r="B22" s="11">
        <v>43009</v>
      </c>
      <c r="C22" s="11">
        <v>43009</v>
      </c>
      <c r="D22" s="11">
        <v>43009</v>
      </c>
      <c r="E22" t="s">
        <v>36</v>
      </c>
      <c r="F22" t="s">
        <v>43</v>
      </c>
      <c r="G22" t="s">
        <v>306</v>
      </c>
      <c r="H22" s="114">
        <v>2894</v>
      </c>
      <c r="I22">
        <f>IF([1]!TbRegistroSaídas[[#This Row],[Data do Caixa Realizado]]="",0,MONTH([1]!TbRegistroSaídas[[#This Row],[Data do Caixa Realizado]]))</f>
        <v>10</v>
      </c>
      <c r="J22">
        <f>IF([1]!TbRegistroSaídas[[#This Row],[Data do Caixa Realizado]]="",0,YEAR([1]!TbRegistroSaídas[[#This Row],[Data do Caixa Realizado]]))</f>
        <v>2017</v>
      </c>
      <c r="K22">
        <f>IF([1]!TbRegistroSaídas[[#This Row],[Data da Competência]]="",0,MONTH([1]!TbRegistroSaídas[[#This Row],[Data da Competência]]))</f>
        <v>10</v>
      </c>
      <c r="L22">
        <f>IF([1]!TbRegistroSaídas[[#This Row],[Data da Competência]]="",0,YEAR([1]!TbRegistroSaídas[[#This Row],[Data da Competência]]))</f>
        <v>2017</v>
      </c>
      <c r="M22">
        <f>IF([1]!TbRegistroSaídas[[#This Row],[Data do Caixa Previsto]]="",0,MONTH([1]!TbRegistroSaídas[[#This Row],[Data do Caixa Previsto]]))</f>
        <v>10</v>
      </c>
      <c r="N22">
        <f>IF([1]!TbRegistroSaídas[[#This Row],[Data do Caixa Previsto]]="",0,YEAR([1]!TbRegistroSaídas[[#This Row],[Data do Caixa Previsto]]))</f>
        <v>2017</v>
      </c>
      <c r="O2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3" spans="2:15" x14ac:dyDescent="0.25">
      <c r="B23" s="11">
        <v>43030.293823546323</v>
      </c>
      <c r="C23" s="11">
        <v>43012</v>
      </c>
      <c r="D23" s="11">
        <v>43030.293823546323</v>
      </c>
      <c r="E23" t="s">
        <v>36</v>
      </c>
      <c r="F23" t="s">
        <v>33</v>
      </c>
      <c r="G23" t="s">
        <v>307</v>
      </c>
      <c r="H23" s="114">
        <v>4516</v>
      </c>
      <c r="I23">
        <f>IF([1]!TbRegistroSaídas[[#This Row],[Data do Caixa Realizado]]="",0,MONTH([1]!TbRegistroSaídas[[#This Row],[Data do Caixa Realizado]]))</f>
        <v>10</v>
      </c>
      <c r="J23">
        <f>IF([1]!TbRegistroSaídas[[#This Row],[Data do Caixa Realizado]]="",0,YEAR([1]!TbRegistroSaídas[[#This Row],[Data do Caixa Realizado]]))</f>
        <v>2017</v>
      </c>
      <c r="K23">
        <f>IF([1]!TbRegistroSaídas[[#This Row],[Data da Competência]]="",0,MONTH([1]!TbRegistroSaídas[[#This Row],[Data da Competência]]))</f>
        <v>10</v>
      </c>
      <c r="L23">
        <f>IF([1]!TbRegistroSaídas[[#This Row],[Data da Competência]]="",0,YEAR([1]!TbRegistroSaídas[[#This Row],[Data da Competência]]))</f>
        <v>2017</v>
      </c>
      <c r="M23">
        <f>IF([1]!TbRegistroSaídas[[#This Row],[Data do Caixa Previsto]]="",0,MONTH([1]!TbRegistroSaídas[[#This Row],[Data do Caixa Previsto]]))</f>
        <v>10</v>
      </c>
      <c r="N23">
        <f>IF([1]!TbRegistroSaídas[[#This Row],[Data do Caixa Previsto]]="",0,YEAR([1]!TbRegistroSaídas[[#This Row],[Data do Caixa Previsto]]))</f>
        <v>2017</v>
      </c>
      <c r="O2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4" spans="2:15" x14ac:dyDescent="0.25">
      <c r="B24" s="11">
        <v>43031.057901657718</v>
      </c>
      <c r="C24" s="11">
        <v>43014</v>
      </c>
      <c r="D24" s="11">
        <v>43031.057901657718</v>
      </c>
      <c r="E24" t="s">
        <v>36</v>
      </c>
      <c r="F24" t="s">
        <v>33</v>
      </c>
      <c r="G24" t="s">
        <v>308</v>
      </c>
      <c r="H24" s="114">
        <v>885</v>
      </c>
      <c r="I24">
        <f>IF([1]!TbRegistroSaídas[[#This Row],[Data do Caixa Realizado]]="",0,MONTH([1]!TbRegistroSaídas[[#This Row],[Data do Caixa Realizado]]))</f>
        <v>10</v>
      </c>
      <c r="J24">
        <f>IF([1]!TbRegistroSaídas[[#This Row],[Data do Caixa Realizado]]="",0,YEAR([1]!TbRegistroSaídas[[#This Row],[Data do Caixa Realizado]]))</f>
        <v>2017</v>
      </c>
      <c r="K24">
        <f>IF([1]!TbRegistroSaídas[[#This Row],[Data da Competência]]="",0,MONTH([1]!TbRegistroSaídas[[#This Row],[Data da Competência]]))</f>
        <v>10</v>
      </c>
      <c r="L24">
        <f>IF([1]!TbRegistroSaídas[[#This Row],[Data da Competência]]="",0,YEAR([1]!TbRegistroSaídas[[#This Row],[Data da Competência]]))</f>
        <v>2017</v>
      </c>
      <c r="M24">
        <f>IF([1]!TbRegistroSaídas[[#This Row],[Data do Caixa Previsto]]="",0,MONTH([1]!TbRegistroSaídas[[#This Row],[Data do Caixa Previsto]]))</f>
        <v>10</v>
      </c>
      <c r="N24">
        <f>IF([1]!TbRegistroSaídas[[#This Row],[Data do Caixa Previsto]]="",0,YEAR([1]!TbRegistroSaídas[[#This Row],[Data do Caixa Previsto]]))</f>
        <v>2017</v>
      </c>
      <c r="O2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5" spans="2:15" x14ac:dyDescent="0.25">
      <c r="B25" s="11">
        <v>43046.987199176881</v>
      </c>
      <c r="C25" s="11">
        <v>43017</v>
      </c>
      <c r="D25" s="11">
        <v>43046.987199176881</v>
      </c>
      <c r="E25" t="s">
        <v>36</v>
      </c>
      <c r="F25" t="s">
        <v>31</v>
      </c>
      <c r="G25" t="s">
        <v>309</v>
      </c>
      <c r="H25" s="114">
        <v>1509</v>
      </c>
      <c r="I25">
        <f>IF([1]!TbRegistroSaídas[[#This Row],[Data do Caixa Realizado]]="",0,MONTH([1]!TbRegistroSaídas[[#This Row],[Data do Caixa Realizado]]))</f>
        <v>11</v>
      </c>
      <c r="J25">
        <f>IF([1]!TbRegistroSaídas[[#This Row],[Data do Caixa Realizado]]="",0,YEAR([1]!TbRegistroSaídas[[#This Row],[Data do Caixa Realizado]]))</f>
        <v>2017</v>
      </c>
      <c r="K25">
        <f>IF([1]!TbRegistroSaídas[[#This Row],[Data da Competência]]="",0,MONTH([1]!TbRegistroSaídas[[#This Row],[Data da Competência]]))</f>
        <v>10</v>
      </c>
      <c r="L25">
        <f>IF([1]!TbRegistroSaídas[[#This Row],[Data da Competência]]="",0,YEAR([1]!TbRegistroSaídas[[#This Row],[Data da Competência]]))</f>
        <v>2017</v>
      </c>
      <c r="M25">
        <f>IF([1]!TbRegistroSaídas[[#This Row],[Data do Caixa Previsto]]="",0,MONTH([1]!TbRegistroSaídas[[#This Row],[Data do Caixa Previsto]]))</f>
        <v>11</v>
      </c>
      <c r="N25">
        <f>IF([1]!TbRegistroSaídas[[#This Row],[Data do Caixa Previsto]]="",0,YEAR([1]!TbRegistroSaídas[[#This Row],[Data do Caixa Previsto]]))</f>
        <v>2017</v>
      </c>
      <c r="O2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6" spans="2:15" x14ac:dyDescent="0.25">
      <c r="B26" s="11">
        <v>43022</v>
      </c>
      <c r="C26" s="11">
        <v>43022</v>
      </c>
      <c r="D26" s="11">
        <v>43022</v>
      </c>
      <c r="E26" t="s">
        <v>36</v>
      </c>
      <c r="F26" t="s">
        <v>43</v>
      </c>
      <c r="G26" t="s">
        <v>310</v>
      </c>
      <c r="H26" s="114">
        <v>145</v>
      </c>
      <c r="I26">
        <f>IF([1]!TbRegistroSaídas[[#This Row],[Data do Caixa Realizado]]="",0,MONTH([1]!TbRegistroSaídas[[#This Row],[Data do Caixa Realizado]]))</f>
        <v>10</v>
      </c>
      <c r="J26">
        <f>IF([1]!TbRegistroSaídas[[#This Row],[Data do Caixa Realizado]]="",0,YEAR([1]!TbRegistroSaídas[[#This Row],[Data do Caixa Realizado]]))</f>
        <v>2017</v>
      </c>
      <c r="K26">
        <f>IF([1]!TbRegistroSaídas[[#This Row],[Data da Competência]]="",0,MONTH([1]!TbRegistroSaídas[[#This Row],[Data da Competência]]))</f>
        <v>10</v>
      </c>
      <c r="L26">
        <f>IF([1]!TbRegistroSaídas[[#This Row],[Data da Competência]]="",0,YEAR([1]!TbRegistroSaídas[[#This Row],[Data da Competência]]))</f>
        <v>2017</v>
      </c>
      <c r="M26">
        <f>IF([1]!TbRegistroSaídas[[#This Row],[Data do Caixa Previsto]]="",0,MONTH([1]!TbRegistroSaídas[[#This Row],[Data do Caixa Previsto]]))</f>
        <v>10</v>
      </c>
      <c r="N26">
        <f>IF([1]!TbRegistroSaídas[[#This Row],[Data do Caixa Previsto]]="",0,YEAR([1]!TbRegistroSaídas[[#This Row],[Data do Caixa Previsto]]))</f>
        <v>2017</v>
      </c>
      <c r="O2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7" spans="2:15" x14ac:dyDescent="0.25">
      <c r="B27" s="11">
        <v>43031.245493844843</v>
      </c>
      <c r="C27" s="11">
        <v>43024</v>
      </c>
      <c r="D27" s="11">
        <v>43031.245493844843</v>
      </c>
      <c r="E27" t="s">
        <v>36</v>
      </c>
      <c r="F27" t="s">
        <v>43</v>
      </c>
      <c r="G27" t="s">
        <v>311</v>
      </c>
      <c r="H27" s="114">
        <v>1311</v>
      </c>
      <c r="I27">
        <f>IF([1]!TbRegistroSaídas[[#This Row],[Data do Caixa Realizado]]="",0,MONTH([1]!TbRegistroSaídas[[#This Row],[Data do Caixa Realizado]]))</f>
        <v>10</v>
      </c>
      <c r="J27">
        <f>IF([1]!TbRegistroSaídas[[#This Row],[Data do Caixa Realizado]]="",0,YEAR([1]!TbRegistroSaídas[[#This Row],[Data do Caixa Realizado]]))</f>
        <v>2017</v>
      </c>
      <c r="K27">
        <f>IF([1]!TbRegistroSaídas[[#This Row],[Data da Competência]]="",0,MONTH([1]!TbRegistroSaídas[[#This Row],[Data da Competência]]))</f>
        <v>10</v>
      </c>
      <c r="L27">
        <f>IF([1]!TbRegistroSaídas[[#This Row],[Data da Competência]]="",0,YEAR([1]!TbRegistroSaídas[[#This Row],[Data da Competência]]))</f>
        <v>2017</v>
      </c>
      <c r="M27">
        <f>IF([1]!TbRegistroSaídas[[#This Row],[Data do Caixa Previsto]]="",0,MONTH([1]!TbRegistroSaídas[[#This Row],[Data do Caixa Previsto]]))</f>
        <v>10</v>
      </c>
      <c r="N27">
        <f>IF([1]!TbRegistroSaídas[[#This Row],[Data do Caixa Previsto]]="",0,YEAR([1]!TbRegistroSaídas[[#This Row],[Data do Caixa Previsto]]))</f>
        <v>2017</v>
      </c>
      <c r="O2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8" spans="2:15" x14ac:dyDescent="0.25">
      <c r="B28" s="11">
        <v>43026</v>
      </c>
      <c r="C28" s="11">
        <v>43026</v>
      </c>
      <c r="D28" s="11">
        <v>43026</v>
      </c>
      <c r="E28" t="s">
        <v>36</v>
      </c>
      <c r="F28" t="s">
        <v>43</v>
      </c>
      <c r="G28" t="s">
        <v>312</v>
      </c>
      <c r="H28" s="114">
        <v>4182</v>
      </c>
      <c r="I28">
        <f>IF([1]!TbRegistroSaídas[[#This Row],[Data do Caixa Realizado]]="",0,MONTH([1]!TbRegistroSaídas[[#This Row],[Data do Caixa Realizado]]))</f>
        <v>10</v>
      </c>
      <c r="J28">
        <f>IF([1]!TbRegistroSaídas[[#This Row],[Data do Caixa Realizado]]="",0,YEAR([1]!TbRegistroSaídas[[#This Row],[Data do Caixa Realizado]]))</f>
        <v>2017</v>
      </c>
      <c r="K28">
        <f>IF([1]!TbRegistroSaídas[[#This Row],[Data da Competência]]="",0,MONTH([1]!TbRegistroSaídas[[#This Row],[Data da Competência]]))</f>
        <v>10</v>
      </c>
      <c r="L28">
        <f>IF([1]!TbRegistroSaídas[[#This Row],[Data da Competência]]="",0,YEAR([1]!TbRegistroSaídas[[#This Row],[Data da Competência]]))</f>
        <v>2017</v>
      </c>
      <c r="M28">
        <f>IF([1]!TbRegistroSaídas[[#This Row],[Data do Caixa Previsto]]="",0,MONTH([1]!TbRegistroSaídas[[#This Row],[Data do Caixa Previsto]]))</f>
        <v>10</v>
      </c>
      <c r="N28">
        <f>IF([1]!TbRegistroSaídas[[#This Row],[Data do Caixa Previsto]]="",0,YEAR([1]!TbRegistroSaídas[[#This Row],[Data do Caixa Previsto]]))</f>
        <v>2017</v>
      </c>
      <c r="O2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9" spans="2:15" x14ac:dyDescent="0.25">
      <c r="B29" s="11">
        <v>43065.365406046469</v>
      </c>
      <c r="C29" s="11">
        <v>43032</v>
      </c>
      <c r="D29" s="11">
        <v>43037.396901300337</v>
      </c>
      <c r="E29" t="s">
        <v>36</v>
      </c>
      <c r="F29" t="s">
        <v>32</v>
      </c>
      <c r="G29" t="s">
        <v>313</v>
      </c>
      <c r="H29" s="114">
        <v>339</v>
      </c>
      <c r="I29">
        <f>IF([1]!TbRegistroSaídas[[#This Row],[Data do Caixa Realizado]]="",0,MONTH([1]!TbRegistroSaídas[[#This Row],[Data do Caixa Realizado]]))</f>
        <v>11</v>
      </c>
      <c r="J29">
        <f>IF([1]!TbRegistroSaídas[[#This Row],[Data do Caixa Realizado]]="",0,YEAR([1]!TbRegistroSaídas[[#This Row],[Data do Caixa Realizado]]))</f>
        <v>2017</v>
      </c>
      <c r="K29">
        <f>IF([1]!TbRegistroSaídas[[#This Row],[Data da Competência]]="",0,MONTH([1]!TbRegistroSaídas[[#This Row],[Data da Competência]]))</f>
        <v>10</v>
      </c>
      <c r="L29">
        <f>IF([1]!TbRegistroSaídas[[#This Row],[Data da Competência]]="",0,YEAR([1]!TbRegistroSaídas[[#This Row],[Data da Competência]]))</f>
        <v>2017</v>
      </c>
      <c r="M29">
        <f>IF([1]!TbRegistroSaídas[[#This Row],[Data do Caixa Previsto]]="",0,MONTH([1]!TbRegistroSaídas[[#This Row],[Data do Caixa Previsto]]))</f>
        <v>10</v>
      </c>
      <c r="N29">
        <f>IF([1]!TbRegistroSaídas[[#This Row],[Data do Caixa Previsto]]="",0,YEAR([1]!TbRegistroSaídas[[#This Row],[Data do Caixa Previsto]]))</f>
        <v>2017</v>
      </c>
      <c r="O2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27.968504746131657</v>
      </c>
    </row>
    <row r="30" spans="2:15" x14ac:dyDescent="0.25">
      <c r="B30" s="11">
        <v>43071.800904601136</v>
      </c>
      <c r="C30" s="11">
        <v>43037</v>
      </c>
      <c r="D30" s="11">
        <v>43068.17516674153</v>
      </c>
      <c r="E30" t="s">
        <v>36</v>
      </c>
      <c r="F30" t="s">
        <v>31</v>
      </c>
      <c r="G30" t="s">
        <v>314</v>
      </c>
      <c r="H30" s="114">
        <v>1788</v>
      </c>
      <c r="I30">
        <f>IF([1]!TbRegistroSaídas[[#This Row],[Data do Caixa Realizado]]="",0,MONTH([1]!TbRegistroSaídas[[#This Row],[Data do Caixa Realizado]]))</f>
        <v>12</v>
      </c>
      <c r="J30">
        <f>IF([1]!TbRegistroSaídas[[#This Row],[Data do Caixa Realizado]]="",0,YEAR([1]!TbRegistroSaídas[[#This Row],[Data do Caixa Realizado]]))</f>
        <v>2017</v>
      </c>
      <c r="K30">
        <f>IF([1]!TbRegistroSaídas[[#This Row],[Data da Competência]]="",0,MONTH([1]!TbRegistroSaídas[[#This Row],[Data da Competência]]))</f>
        <v>10</v>
      </c>
      <c r="L30">
        <f>IF([1]!TbRegistroSaídas[[#This Row],[Data da Competência]]="",0,YEAR([1]!TbRegistroSaídas[[#This Row],[Data da Competência]]))</f>
        <v>2017</v>
      </c>
      <c r="M30">
        <f>IF([1]!TbRegistroSaídas[[#This Row],[Data do Caixa Previsto]]="",0,MONTH([1]!TbRegistroSaídas[[#This Row],[Data do Caixa Previsto]]))</f>
        <v>11</v>
      </c>
      <c r="N30">
        <f>IF([1]!TbRegistroSaídas[[#This Row],[Data do Caixa Previsto]]="",0,YEAR([1]!TbRegistroSaídas[[#This Row],[Data do Caixa Previsto]]))</f>
        <v>2017</v>
      </c>
      <c r="O3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3.6257378596055787</v>
      </c>
    </row>
    <row r="31" spans="2:15" x14ac:dyDescent="0.25">
      <c r="B31" s="11">
        <v>43089.045976990965</v>
      </c>
      <c r="C31" s="11">
        <v>43042</v>
      </c>
      <c r="D31" s="11">
        <v>43089.045976990965</v>
      </c>
      <c r="E31" t="s">
        <v>36</v>
      </c>
      <c r="F31" t="s">
        <v>33</v>
      </c>
      <c r="G31" t="s">
        <v>315</v>
      </c>
      <c r="H31" s="114">
        <v>1171</v>
      </c>
      <c r="I31">
        <f>IF([1]!TbRegistroSaídas[[#This Row],[Data do Caixa Realizado]]="",0,MONTH([1]!TbRegistroSaídas[[#This Row],[Data do Caixa Realizado]]))</f>
        <v>12</v>
      </c>
      <c r="J31">
        <f>IF([1]!TbRegistroSaídas[[#This Row],[Data do Caixa Realizado]]="",0,YEAR([1]!TbRegistroSaídas[[#This Row],[Data do Caixa Realizado]]))</f>
        <v>2017</v>
      </c>
      <c r="K31">
        <f>IF([1]!TbRegistroSaídas[[#This Row],[Data da Competência]]="",0,MONTH([1]!TbRegistroSaídas[[#This Row],[Data da Competência]]))</f>
        <v>11</v>
      </c>
      <c r="L31">
        <f>IF([1]!TbRegistroSaídas[[#This Row],[Data da Competência]]="",0,YEAR([1]!TbRegistroSaídas[[#This Row],[Data da Competência]]))</f>
        <v>2017</v>
      </c>
      <c r="M31">
        <f>IF([1]!TbRegistroSaídas[[#This Row],[Data do Caixa Previsto]]="",0,MONTH([1]!TbRegistroSaídas[[#This Row],[Data do Caixa Previsto]]))</f>
        <v>12</v>
      </c>
      <c r="N31">
        <f>IF([1]!TbRegistroSaídas[[#This Row],[Data do Caixa Previsto]]="",0,YEAR([1]!TbRegistroSaídas[[#This Row],[Data do Caixa Previsto]]))</f>
        <v>2017</v>
      </c>
      <c r="O3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32" spans="2:15" x14ac:dyDescent="0.25">
      <c r="B32" s="11">
        <v>43044</v>
      </c>
      <c r="C32" s="11">
        <v>43044</v>
      </c>
      <c r="D32" s="11">
        <v>43044</v>
      </c>
      <c r="E32" t="s">
        <v>36</v>
      </c>
      <c r="F32" t="s">
        <v>43</v>
      </c>
      <c r="G32" t="s">
        <v>316</v>
      </c>
      <c r="H32" s="114">
        <v>4059</v>
      </c>
      <c r="I32">
        <f>IF([1]!TbRegistroSaídas[[#This Row],[Data do Caixa Realizado]]="",0,MONTH([1]!TbRegistroSaídas[[#This Row],[Data do Caixa Realizado]]))</f>
        <v>11</v>
      </c>
      <c r="J32">
        <f>IF([1]!TbRegistroSaídas[[#This Row],[Data do Caixa Realizado]]="",0,YEAR([1]!TbRegistroSaídas[[#This Row],[Data do Caixa Realizado]]))</f>
        <v>2017</v>
      </c>
      <c r="K32">
        <f>IF([1]!TbRegistroSaídas[[#This Row],[Data da Competência]]="",0,MONTH([1]!TbRegistroSaídas[[#This Row],[Data da Competência]]))</f>
        <v>11</v>
      </c>
      <c r="L32">
        <f>IF([1]!TbRegistroSaídas[[#This Row],[Data da Competência]]="",0,YEAR([1]!TbRegistroSaídas[[#This Row],[Data da Competência]]))</f>
        <v>2017</v>
      </c>
      <c r="M32">
        <f>IF([1]!TbRegistroSaídas[[#This Row],[Data do Caixa Previsto]]="",0,MONTH([1]!TbRegistroSaídas[[#This Row],[Data do Caixa Previsto]]))</f>
        <v>11</v>
      </c>
      <c r="N32">
        <f>IF([1]!TbRegistroSaídas[[#This Row],[Data do Caixa Previsto]]="",0,YEAR([1]!TbRegistroSaídas[[#This Row],[Data do Caixa Previsto]]))</f>
        <v>2017</v>
      </c>
      <c r="O3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33" spans="2:15" x14ac:dyDescent="0.25">
      <c r="B33" s="11">
        <v>43047</v>
      </c>
      <c r="C33" s="11">
        <v>43047</v>
      </c>
      <c r="D33" s="11">
        <v>43047</v>
      </c>
      <c r="E33" t="s">
        <v>36</v>
      </c>
      <c r="F33" t="s">
        <v>35</v>
      </c>
      <c r="G33" t="s">
        <v>317</v>
      </c>
      <c r="H33" s="114">
        <v>4919</v>
      </c>
      <c r="I33">
        <f>IF([1]!TbRegistroSaídas[[#This Row],[Data do Caixa Realizado]]="",0,MONTH([1]!TbRegistroSaídas[[#This Row],[Data do Caixa Realizado]]))</f>
        <v>11</v>
      </c>
      <c r="J33">
        <f>IF([1]!TbRegistroSaídas[[#This Row],[Data do Caixa Realizado]]="",0,YEAR([1]!TbRegistroSaídas[[#This Row],[Data do Caixa Realizado]]))</f>
        <v>2017</v>
      </c>
      <c r="K33">
        <f>IF([1]!TbRegistroSaídas[[#This Row],[Data da Competência]]="",0,MONTH([1]!TbRegistroSaídas[[#This Row],[Data da Competência]]))</f>
        <v>11</v>
      </c>
      <c r="L33">
        <f>IF([1]!TbRegistroSaídas[[#This Row],[Data da Competência]]="",0,YEAR([1]!TbRegistroSaídas[[#This Row],[Data da Competência]]))</f>
        <v>2017</v>
      </c>
      <c r="M33">
        <f>IF([1]!TbRegistroSaídas[[#This Row],[Data do Caixa Previsto]]="",0,MONTH([1]!TbRegistroSaídas[[#This Row],[Data do Caixa Previsto]]))</f>
        <v>11</v>
      </c>
      <c r="N33">
        <f>IF([1]!TbRegistroSaídas[[#This Row],[Data do Caixa Previsto]]="",0,YEAR([1]!TbRegistroSaídas[[#This Row],[Data do Caixa Previsto]]))</f>
        <v>2017</v>
      </c>
      <c r="O3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34" spans="2:15" x14ac:dyDescent="0.25">
      <c r="B34" s="11">
        <v>43087.512329668702</v>
      </c>
      <c r="C34" s="11">
        <v>43051</v>
      </c>
      <c r="D34" s="11">
        <v>43087.512329668702</v>
      </c>
      <c r="E34" t="s">
        <v>36</v>
      </c>
      <c r="F34" t="s">
        <v>43</v>
      </c>
      <c r="G34" t="s">
        <v>318</v>
      </c>
      <c r="H34" s="114">
        <v>3224</v>
      </c>
      <c r="I34">
        <f>IF([1]!TbRegistroSaídas[[#This Row],[Data do Caixa Realizado]]="",0,MONTH([1]!TbRegistroSaídas[[#This Row],[Data do Caixa Realizado]]))</f>
        <v>12</v>
      </c>
      <c r="J34">
        <f>IF([1]!TbRegistroSaídas[[#This Row],[Data do Caixa Realizado]]="",0,YEAR([1]!TbRegistroSaídas[[#This Row],[Data do Caixa Realizado]]))</f>
        <v>2017</v>
      </c>
      <c r="K34">
        <f>IF([1]!TbRegistroSaídas[[#This Row],[Data da Competência]]="",0,MONTH([1]!TbRegistroSaídas[[#This Row],[Data da Competência]]))</f>
        <v>11</v>
      </c>
      <c r="L34">
        <f>IF([1]!TbRegistroSaídas[[#This Row],[Data da Competência]]="",0,YEAR([1]!TbRegistroSaídas[[#This Row],[Data da Competência]]))</f>
        <v>2017</v>
      </c>
      <c r="M34">
        <f>IF([1]!TbRegistroSaídas[[#This Row],[Data do Caixa Previsto]]="",0,MONTH([1]!TbRegistroSaídas[[#This Row],[Data do Caixa Previsto]]))</f>
        <v>12</v>
      </c>
      <c r="N34">
        <f>IF([1]!TbRegistroSaídas[[#This Row],[Data do Caixa Previsto]]="",0,YEAR([1]!TbRegistroSaídas[[#This Row],[Data do Caixa Previsto]]))</f>
        <v>2017</v>
      </c>
      <c r="O3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35" spans="2:15" x14ac:dyDescent="0.25">
      <c r="B35" s="11">
        <v>43095.145797073659</v>
      </c>
      <c r="C35" s="11">
        <v>43054</v>
      </c>
      <c r="D35" s="11">
        <v>43095.145797073659</v>
      </c>
      <c r="E35" t="s">
        <v>36</v>
      </c>
      <c r="F35" t="s">
        <v>33</v>
      </c>
      <c r="G35" t="s">
        <v>319</v>
      </c>
      <c r="H35" s="114">
        <v>3725</v>
      </c>
      <c r="I35">
        <f>IF([1]!TbRegistroSaídas[[#This Row],[Data do Caixa Realizado]]="",0,MONTH([1]!TbRegistroSaídas[[#This Row],[Data do Caixa Realizado]]))</f>
        <v>12</v>
      </c>
      <c r="J35">
        <f>IF([1]!TbRegistroSaídas[[#This Row],[Data do Caixa Realizado]]="",0,YEAR([1]!TbRegistroSaídas[[#This Row],[Data do Caixa Realizado]]))</f>
        <v>2017</v>
      </c>
      <c r="K35">
        <f>IF([1]!TbRegistroSaídas[[#This Row],[Data da Competência]]="",0,MONTH([1]!TbRegistroSaídas[[#This Row],[Data da Competência]]))</f>
        <v>11</v>
      </c>
      <c r="L35">
        <f>IF([1]!TbRegistroSaídas[[#This Row],[Data da Competência]]="",0,YEAR([1]!TbRegistroSaídas[[#This Row],[Data da Competência]]))</f>
        <v>2017</v>
      </c>
      <c r="M35">
        <f>IF([1]!TbRegistroSaídas[[#This Row],[Data do Caixa Previsto]]="",0,MONTH([1]!TbRegistroSaídas[[#This Row],[Data do Caixa Previsto]]))</f>
        <v>12</v>
      </c>
      <c r="N35">
        <f>IF([1]!TbRegistroSaídas[[#This Row],[Data do Caixa Previsto]]="",0,YEAR([1]!TbRegistroSaídas[[#This Row],[Data do Caixa Previsto]]))</f>
        <v>2017</v>
      </c>
      <c r="O3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36" spans="2:15" x14ac:dyDescent="0.25">
      <c r="B36" s="11">
        <v>43056</v>
      </c>
      <c r="C36" s="11">
        <v>43056</v>
      </c>
      <c r="D36" s="11">
        <v>43056</v>
      </c>
      <c r="E36" t="s">
        <v>36</v>
      </c>
      <c r="F36" t="s">
        <v>33</v>
      </c>
      <c r="G36" t="s">
        <v>320</v>
      </c>
      <c r="H36" s="114">
        <v>312</v>
      </c>
      <c r="I36">
        <f>IF([1]!TbRegistroSaídas[[#This Row],[Data do Caixa Realizado]]="",0,MONTH([1]!TbRegistroSaídas[[#This Row],[Data do Caixa Realizado]]))</f>
        <v>11</v>
      </c>
      <c r="J36">
        <f>IF([1]!TbRegistroSaídas[[#This Row],[Data do Caixa Realizado]]="",0,YEAR([1]!TbRegistroSaídas[[#This Row],[Data do Caixa Realizado]]))</f>
        <v>2017</v>
      </c>
      <c r="K36">
        <f>IF([1]!TbRegistroSaídas[[#This Row],[Data da Competência]]="",0,MONTH([1]!TbRegistroSaídas[[#This Row],[Data da Competência]]))</f>
        <v>11</v>
      </c>
      <c r="L36">
        <f>IF([1]!TbRegistroSaídas[[#This Row],[Data da Competência]]="",0,YEAR([1]!TbRegistroSaídas[[#This Row],[Data da Competência]]))</f>
        <v>2017</v>
      </c>
      <c r="M36">
        <f>IF([1]!TbRegistroSaídas[[#This Row],[Data do Caixa Previsto]]="",0,MONTH([1]!TbRegistroSaídas[[#This Row],[Data do Caixa Previsto]]))</f>
        <v>11</v>
      </c>
      <c r="N36">
        <f>IF([1]!TbRegistroSaídas[[#This Row],[Data do Caixa Previsto]]="",0,YEAR([1]!TbRegistroSaídas[[#This Row],[Data do Caixa Previsto]]))</f>
        <v>2017</v>
      </c>
      <c r="O3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37" spans="2:15" x14ac:dyDescent="0.25">
      <c r="B37" s="11">
        <v>43112.669025156058</v>
      </c>
      <c r="C37" s="11">
        <v>43057</v>
      </c>
      <c r="D37" s="11">
        <v>43112.669025156058</v>
      </c>
      <c r="E37" t="s">
        <v>36</v>
      </c>
      <c r="F37" t="s">
        <v>43</v>
      </c>
      <c r="G37" t="s">
        <v>321</v>
      </c>
      <c r="H37" s="114">
        <v>4773</v>
      </c>
      <c r="I37">
        <f>IF([1]!TbRegistroSaídas[[#This Row],[Data do Caixa Realizado]]="",0,MONTH([1]!TbRegistroSaídas[[#This Row],[Data do Caixa Realizado]]))</f>
        <v>1</v>
      </c>
      <c r="J37">
        <f>IF([1]!TbRegistroSaídas[[#This Row],[Data do Caixa Realizado]]="",0,YEAR([1]!TbRegistroSaídas[[#This Row],[Data do Caixa Realizado]]))</f>
        <v>2018</v>
      </c>
      <c r="K37">
        <f>IF([1]!TbRegistroSaídas[[#This Row],[Data da Competência]]="",0,MONTH([1]!TbRegistroSaídas[[#This Row],[Data da Competência]]))</f>
        <v>11</v>
      </c>
      <c r="L37">
        <f>IF([1]!TbRegistroSaídas[[#This Row],[Data da Competência]]="",0,YEAR([1]!TbRegistroSaídas[[#This Row],[Data da Competência]]))</f>
        <v>2017</v>
      </c>
      <c r="M37">
        <f>IF([1]!TbRegistroSaídas[[#This Row],[Data do Caixa Previsto]]="",0,MONTH([1]!TbRegistroSaídas[[#This Row],[Data do Caixa Previsto]]))</f>
        <v>1</v>
      </c>
      <c r="N37">
        <f>IF([1]!TbRegistroSaídas[[#This Row],[Data do Caixa Previsto]]="",0,YEAR([1]!TbRegistroSaídas[[#This Row],[Data do Caixa Previsto]]))</f>
        <v>2018</v>
      </c>
      <c r="O3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38" spans="2:15" x14ac:dyDescent="0.25">
      <c r="B38" s="11">
        <v>43101.699276392093</v>
      </c>
      <c r="C38" s="11">
        <v>43058</v>
      </c>
      <c r="D38" s="11">
        <v>43058</v>
      </c>
      <c r="E38" t="s">
        <v>36</v>
      </c>
      <c r="F38" t="s">
        <v>35</v>
      </c>
      <c r="G38" t="s">
        <v>322</v>
      </c>
      <c r="H38" s="114">
        <v>228</v>
      </c>
      <c r="I38">
        <f>IF([1]!TbRegistroSaídas[[#This Row],[Data do Caixa Realizado]]="",0,MONTH([1]!TbRegistroSaídas[[#This Row],[Data do Caixa Realizado]]))</f>
        <v>1</v>
      </c>
      <c r="J38">
        <f>IF([1]!TbRegistroSaídas[[#This Row],[Data do Caixa Realizado]]="",0,YEAR([1]!TbRegistroSaídas[[#This Row],[Data do Caixa Realizado]]))</f>
        <v>2018</v>
      </c>
      <c r="K38">
        <f>IF([1]!TbRegistroSaídas[[#This Row],[Data da Competência]]="",0,MONTH([1]!TbRegistroSaídas[[#This Row],[Data da Competência]]))</f>
        <v>11</v>
      </c>
      <c r="L38">
        <f>IF([1]!TbRegistroSaídas[[#This Row],[Data da Competência]]="",0,YEAR([1]!TbRegistroSaídas[[#This Row],[Data da Competência]]))</f>
        <v>2017</v>
      </c>
      <c r="M38">
        <f>IF([1]!TbRegistroSaídas[[#This Row],[Data do Caixa Previsto]]="",0,MONTH([1]!TbRegistroSaídas[[#This Row],[Data do Caixa Previsto]]))</f>
        <v>11</v>
      </c>
      <c r="N38">
        <f>IF([1]!TbRegistroSaídas[[#This Row],[Data do Caixa Previsto]]="",0,YEAR([1]!TbRegistroSaídas[[#This Row],[Data do Caixa Previsto]]))</f>
        <v>2017</v>
      </c>
      <c r="O3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43.699276392093452</v>
      </c>
    </row>
    <row r="39" spans="2:15" x14ac:dyDescent="0.25">
      <c r="B39" s="11">
        <v>43061</v>
      </c>
      <c r="C39" s="11">
        <v>43061</v>
      </c>
      <c r="D39" s="11">
        <v>43061</v>
      </c>
      <c r="E39" t="s">
        <v>36</v>
      </c>
      <c r="F39" t="s">
        <v>43</v>
      </c>
      <c r="G39" t="s">
        <v>323</v>
      </c>
      <c r="H39" s="114">
        <v>450</v>
      </c>
      <c r="I39">
        <f>IF([1]!TbRegistroSaídas[[#This Row],[Data do Caixa Realizado]]="",0,MONTH([1]!TbRegistroSaídas[[#This Row],[Data do Caixa Realizado]]))</f>
        <v>11</v>
      </c>
      <c r="J39">
        <f>IF([1]!TbRegistroSaídas[[#This Row],[Data do Caixa Realizado]]="",0,YEAR([1]!TbRegistroSaídas[[#This Row],[Data do Caixa Realizado]]))</f>
        <v>2017</v>
      </c>
      <c r="K39">
        <f>IF([1]!TbRegistroSaídas[[#This Row],[Data da Competência]]="",0,MONTH([1]!TbRegistroSaídas[[#This Row],[Data da Competência]]))</f>
        <v>11</v>
      </c>
      <c r="L39">
        <f>IF([1]!TbRegistroSaídas[[#This Row],[Data da Competência]]="",0,YEAR([1]!TbRegistroSaídas[[#This Row],[Data da Competência]]))</f>
        <v>2017</v>
      </c>
      <c r="M39">
        <f>IF([1]!TbRegistroSaídas[[#This Row],[Data do Caixa Previsto]]="",0,MONTH([1]!TbRegistroSaídas[[#This Row],[Data do Caixa Previsto]]))</f>
        <v>11</v>
      </c>
      <c r="N39">
        <f>IF([1]!TbRegistroSaídas[[#This Row],[Data do Caixa Previsto]]="",0,YEAR([1]!TbRegistroSaídas[[#This Row],[Data do Caixa Previsto]]))</f>
        <v>2017</v>
      </c>
      <c r="O3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40" spans="2:15" x14ac:dyDescent="0.25">
      <c r="B40" s="11">
        <v>43103.4086174822</v>
      </c>
      <c r="C40" s="11">
        <v>43062</v>
      </c>
      <c r="D40" s="11">
        <v>43103.4086174822</v>
      </c>
      <c r="E40" t="s">
        <v>36</v>
      </c>
      <c r="F40" t="s">
        <v>43</v>
      </c>
      <c r="G40" t="s">
        <v>324</v>
      </c>
      <c r="H40" s="114">
        <v>1155</v>
      </c>
      <c r="I40">
        <f>IF([1]!TbRegistroSaídas[[#This Row],[Data do Caixa Realizado]]="",0,MONTH([1]!TbRegistroSaídas[[#This Row],[Data do Caixa Realizado]]))</f>
        <v>1</v>
      </c>
      <c r="J40">
        <f>IF([1]!TbRegistroSaídas[[#This Row],[Data do Caixa Realizado]]="",0,YEAR([1]!TbRegistroSaídas[[#This Row],[Data do Caixa Realizado]]))</f>
        <v>2018</v>
      </c>
      <c r="K40">
        <f>IF([1]!TbRegistroSaídas[[#This Row],[Data da Competência]]="",0,MONTH([1]!TbRegistroSaídas[[#This Row],[Data da Competência]]))</f>
        <v>11</v>
      </c>
      <c r="L40">
        <f>IF([1]!TbRegistroSaídas[[#This Row],[Data da Competência]]="",0,YEAR([1]!TbRegistroSaídas[[#This Row],[Data da Competência]]))</f>
        <v>2017</v>
      </c>
      <c r="M40">
        <f>IF([1]!TbRegistroSaídas[[#This Row],[Data do Caixa Previsto]]="",0,MONTH([1]!TbRegistroSaídas[[#This Row],[Data do Caixa Previsto]]))</f>
        <v>1</v>
      </c>
      <c r="N40">
        <f>IF([1]!TbRegistroSaídas[[#This Row],[Data do Caixa Previsto]]="",0,YEAR([1]!TbRegistroSaídas[[#This Row],[Data do Caixa Previsto]]))</f>
        <v>2018</v>
      </c>
      <c r="O4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41" spans="2:15" x14ac:dyDescent="0.25">
      <c r="B41" s="11">
        <v>43070.024697534791</v>
      </c>
      <c r="C41" s="11">
        <v>43069</v>
      </c>
      <c r="D41" s="11">
        <v>43070.024697534791</v>
      </c>
      <c r="E41" t="s">
        <v>36</v>
      </c>
      <c r="F41" t="s">
        <v>43</v>
      </c>
      <c r="G41" t="s">
        <v>293</v>
      </c>
      <c r="H41" s="114">
        <v>1967</v>
      </c>
      <c r="I41">
        <f>IF([1]!TbRegistroSaídas[[#This Row],[Data do Caixa Realizado]]="",0,MONTH([1]!TbRegistroSaídas[[#This Row],[Data do Caixa Realizado]]))</f>
        <v>12</v>
      </c>
      <c r="J41">
        <f>IF([1]!TbRegistroSaídas[[#This Row],[Data do Caixa Realizado]]="",0,YEAR([1]!TbRegistroSaídas[[#This Row],[Data do Caixa Realizado]]))</f>
        <v>2017</v>
      </c>
      <c r="K41">
        <f>IF([1]!TbRegistroSaídas[[#This Row],[Data da Competência]]="",0,MONTH([1]!TbRegistroSaídas[[#This Row],[Data da Competência]]))</f>
        <v>11</v>
      </c>
      <c r="L41">
        <f>IF([1]!TbRegistroSaídas[[#This Row],[Data da Competência]]="",0,YEAR([1]!TbRegistroSaídas[[#This Row],[Data da Competência]]))</f>
        <v>2017</v>
      </c>
      <c r="M41">
        <f>IF([1]!TbRegistroSaídas[[#This Row],[Data do Caixa Previsto]]="",0,MONTH([1]!TbRegistroSaídas[[#This Row],[Data do Caixa Previsto]]))</f>
        <v>12</v>
      </c>
      <c r="N41">
        <f>IF([1]!TbRegistroSaídas[[#This Row],[Data do Caixa Previsto]]="",0,YEAR([1]!TbRegistroSaídas[[#This Row],[Data do Caixa Previsto]]))</f>
        <v>2017</v>
      </c>
      <c r="O4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42" spans="2:15" x14ac:dyDescent="0.25">
      <c r="B42" s="11">
        <v>43096.096100611438</v>
      </c>
      <c r="C42" s="11">
        <v>43070</v>
      </c>
      <c r="D42" s="11">
        <v>43096.096100611438</v>
      </c>
      <c r="E42" t="s">
        <v>36</v>
      </c>
      <c r="F42" t="s">
        <v>31</v>
      </c>
      <c r="G42" t="s">
        <v>325</v>
      </c>
      <c r="H42" s="114">
        <v>2741</v>
      </c>
      <c r="I42">
        <f>IF([1]!TbRegistroSaídas[[#This Row],[Data do Caixa Realizado]]="",0,MONTH([1]!TbRegistroSaídas[[#This Row],[Data do Caixa Realizado]]))</f>
        <v>12</v>
      </c>
      <c r="J42">
        <f>IF([1]!TbRegistroSaídas[[#This Row],[Data do Caixa Realizado]]="",0,YEAR([1]!TbRegistroSaídas[[#This Row],[Data do Caixa Realizado]]))</f>
        <v>2017</v>
      </c>
      <c r="K42">
        <f>IF([1]!TbRegistroSaídas[[#This Row],[Data da Competência]]="",0,MONTH([1]!TbRegistroSaídas[[#This Row],[Data da Competência]]))</f>
        <v>12</v>
      </c>
      <c r="L42">
        <f>IF([1]!TbRegistroSaídas[[#This Row],[Data da Competência]]="",0,YEAR([1]!TbRegistroSaídas[[#This Row],[Data da Competência]]))</f>
        <v>2017</v>
      </c>
      <c r="M42">
        <f>IF([1]!TbRegistroSaídas[[#This Row],[Data do Caixa Previsto]]="",0,MONTH([1]!TbRegistroSaídas[[#This Row],[Data do Caixa Previsto]]))</f>
        <v>12</v>
      </c>
      <c r="N42">
        <f>IF([1]!TbRegistroSaídas[[#This Row],[Data do Caixa Previsto]]="",0,YEAR([1]!TbRegistroSaídas[[#This Row],[Data do Caixa Previsto]]))</f>
        <v>2017</v>
      </c>
      <c r="O4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43" spans="2:15" x14ac:dyDescent="0.25">
      <c r="B43" s="11">
        <v>43125.34551811625</v>
      </c>
      <c r="C43" s="11">
        <v>43071</v>
      </c>
      <c r="D43" s="11">
        <v>43125.34551811625</v>
      </c>
      <c r="E43" t="s">
        <v>36</v>
      </c>
      <c r="F43" t="s">
        <v>32</v>
      </c>
      <c r="G43" t="s">
        <v>326</v>
      </c>
      <c r="H43" s="114">
        <v>1130</v>
      </c>
      <c r="I43">
        <f>IF([1]!TbRegistroSaídas[[#This Row],[Data do Caixa Realizado]]="",0,MONTH([1]!TbRegistroSaídas[[#This Row],[Data do Caixa Realizado]]))</f>
        <v>1</v>
      </c>
      <c r="J43">
        <f>IF([1]!TbRegistroSaídas[[#This Row],[Data do Caixa Realizado]]="",0,YEAR([1]!TbRegistroSaídas[[#This Row],[Data do Caixa Realizado]]))</f>
        <v>2018</v>
      </c>
      <c r="K43">
        <f>IF([1]!TbRegistroSaídas[[#This Row],[Data da Competência]]="",0,MONTH([1]!TbRegistroSaídas[[#This Row],[Data da Competência]]))</f>
        <v>12</v>
      </c>
      <c r="L43">
        <f>IF([1]!TbRegistroSaídas[[#This Row],[Data da Competência]]="",0,YEAR([1]!TbRegistroSaídas[[#This Row],[Data da Competência]]))</f>
        <v>2017</v>
      </c>
      <c r="M43">
        <f>IF([1]!TbRegistroSaídas[[#This Row],[Data do Caixa Previsto]]="",0,MONTH([1]!TbRegistroSaídas[[#This Row],[Data do Caixa Previsto]]))</f>
        <v>1</v>
      </c>
      <c r="N43">
        <f>IF([1]!TbRegistroSaídas[[#This Row],[Data do Caixa Previsto]]="",0,YEAR([1]!TbRegistroSaídas[[#This Row],[Data do Caixa Previsto]]))</f>
        <v>2018</v>
      </c>
      <c r="O4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44" spans="2:15" x14ac:dyDescent="0.25">
      <c r="B44" s="11">
        <v>43075</v>
      </c>
      <c r="C44" s="11">
        <v>43075</v>
      </c>
      <c r="D44" s="11">
        <v>43075</v>
      </c>
      <c r="E44" t="s">
        <v>36</v>
      </c>
      <c r="F44" t="s">
        <v>33</v>
      </c>
      <c r="G44" t="s">
        <v>327</v>
      </c>
      <c r="H44" s="114">
        <v>4835</v>
      </c>
      <c r="I44">
        <f>IF([1]!TbRegistroSaídas[[#This Row],[Data do Caixa Realizado]]="",0,MONTH([1]!TbRegistroSaídas[[#This Row],[Data do Caixa Realizado]]))</f>
        <v>12</v>
      </c>
      <c r="J44">
        <f>IF([1]!TbRegistroSaídas[[#This Row],[Data do Caixa Realizado]]="",0,YEAR([1]!TbRegistroSaídas[[#This Row],[Data do Caixa Realizado]]))</f>
        <v>2017</v>
      </c>
      <c r="K44">
        <f>IF([1]!TbRegistroSaídas[[#This Row],[Data da Competência]]="",0,MONTH([1]!TbRegistroSaídas[[#This Row],[Data da Competência]]))</f>
        <v>12</v>
      </c>
      <c r="L44">
        <f>IF([1]!TbRegistroSaídas[[#This Row],[Data da Competência]]="",0,YEAR([1]!TbRegistroSaídas[[#This Row],[Data da Competência]]))</f>
        <v>2017</v>
      </c>
      <c r="M44">
        <f>IF([1]!TbRegistroSaídas[[#This Row],[Data do Caixa Previsto]]="",0,MONTH([1]!TbRegistroSaídas[[#This Row],[Data do Caixa Previsto]]))</f>
        <v>12</v>
      </c>
      <c r="N44">
        <f>IF([1]!TbRegistroSaídas[[#This Row],[Data do Caixa Previsto]]="",0,YEAR([1]!TbRegistroSaídas[[#This Row],[Data do Caixa Previsto]]))</f>
        <v>2017</v>
      </c>
      <c r="O4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45" spans="2:15" x14ac:dyDescent="0.25">
      <c r="B45" s="11">
        <v>43077</v>
      </c>
      <c r="C45" s="11">
        <v>43077</v>
      </c>
      <c r="D45" s="11">
        <v>43077</v>
      </c>
      <c r="E45" t="s">
        <v>36</v>
      </c>
      <c r="F45" t="s">
        <v>31</v>
      </c>
      <c r="G45" t="s">
        <v>289</v>
      </c>
      <c r="H45" s="114">
        <v>1411</v>
      </c>
      <c r="I45">
        <f>IF([1]!TbRegistroSaídas[[#This Row],[Data do Caixa Realizado]]="",0,MONTH([1]!TbRegistroSaídas[[#This Row],[Data do Caixa Realizado]]))</f>
        <v>12</v>
      </c>
      <c r="J45">
        <f>IF([1]!TbRegistroSaídas[[#This Row],[Data do Caixa Realizado]]="",0,YEAR([1]!TbRegistroSaídas[[#This Row],[Data do Caixa Realizado]]))</f>
        <v>2017</v>
      </c>
      <c r="K45">
        <f>IF([1]!TbRegistroSaídas[[#This Row],[Data da Competência]]="",0,MONTH([1]!TbRegistroSaídas[[#This Row],[Data da Competência]]))</f>
        <v>12</v>
      </c>
      <c r="L45">
        <f>IF([1]!TbRegistroSaídas[[#This Row],[Data da Competência]]="",0,YEAR([1]!TbRegistroSaídas[[#This Row],[Data da Competência]]))</f>
        <v>2017</v>
      </c>
      <c r="M45">
        <f>IF([1]!TbRegistroSaídas[[#This Row],[Data do Caixa Previsto]]="",0,MONTH([1]!TbRegistroSaídas[[#This Row],[Data do Caixa Previsto]]))</f>
        <v>12</v>
      </c>
      <c r="N45">
        <f>IF([1]!TbRegistroSaídas[[#This Row],[Data do Caixa Previsto]]="",0,YEAR([1]!TbRegistroSaídas[[#This Row],[Data do Caixa Previsto]]))</f>
        <v>2017</v>
      </c>
      <c r="O4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46" spans="2:15" x14ac:dyDescent="0.25">
      <c r="B46" s="11">
        <v>43099.632017726879</v>
      </c>
      <c r="C46" s="11">
        <v>43079</v>
      </c>
      <c r="D46" s="11">
        <v>43099.632017726879</v>
      </c>
      <c r="E46" t="s">
        <v>36</v>
      </c>
      <c r="F46" t="s">
        <v>43</v>
      </c>
      <c r="G46" t="s">
        <v>328</v>
      </c>
      <c r="H46" s="114">
        <v>457</v>
      </c>
      <c r="I46">
        <f>IF([1]!TbRegistroSaídas[[#This Row],[Data do Caixa Realizado]]="",0,MONTH([1]!TbRegistroSaídas[[#This Row],[Data do Caixa Realizado]]))</f>
        <v>12</v>
      </c>
      <c r="J46">
        <f>IF([1]!TbRegistroSaídas[[#This Row],[Data do Caixa Realizado]]="",0,YEAR([1]!TbRegistroSaídas[[#This Row],[Data do Caixa Realizado]]))</f>
        <v>2017</v>
      </c>
      <c r="K46">
        <f>IF([1]!TbRegistroSaídas[[#This Row],[Data da Competência]]="",0,MONTH([1]!TbRegistroSaídas[[#This Row],[Data da Competência]]))</f>
        <v>12</v>
      </c>
      <c r="L46">
        <f>IF([1]!TbRegistroSaídas[[#This Row],[Data da Competência]]="",0,YEAR([1]!TbRegistroSaídas[[#This Row],[Data da Competência]]))</f>
        <v>2017</v>
      </c>
      <c r="M46">
        <f>IF([1]!TbRegistroSaídas[[#This Row],[Data do Caixa Previsto]]="",0,MONTH([1]!TbRegistroSaídas[[#This Row],[Data do Caixa Previsto]]))</f>
        <v>12</v>
      </c>
      <c r="N46">
        <f>IF([1]!TbRegistroSaídas[[#This Row],[Data do Caixa Previsto]]="",0,YEAR([1]!TbRegistroSaídas[[#This Row],[Data do Caixa Previsto]]))</f>
        <v>2017</v>
      </c>
      <c r="O4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47" spans="2:15" x14ac:dyDescent="0.25">
      <c r="B47" s="11" t="s">
        <v>68</v>
      </c>
      <c r="C47" s="11">
        <v>43084</v>
      </c>
      <c r="D47" s="11">
        <v>43142.610706080763</v>
      </c>
      <c r="E47" t="s">
        <v>36</v>
      </c>
      <c r="F47" t="s">
        <v>32</v>
      </c>
      <c r="G47" t="s">
        <v>329</v>
      </c>
      <c r="H47" s="114">
        <v>2623</v>
      </c>
      <c r="I47">
        <f>IF([1]!TbRegistroSaídas[[#This Row],[Data do Caixa Realizado]]="",0,MONTH([1]!TbRegistroSaídas[[#This Row],[Data do Caixa Realizado]]))</f>
        <v>0</v>
      </c>
      <c r="J47">
        <f>IF([1]!TbRegistroSaídas[[#This Row],[Data do Caixa Realizado]]="",0,YEAR([1]!TbRegistroSaídas[[#This Row],[Data do Caixa Realizado]]))</f>
        <v>0</v>
      </c>
      <c r="K47">
        <f>IF([1]!TbRegistroSaídas[[#This Row],[Data da Competência]]="",0,MONTH([1]!TbRegistroSaídas[[#This Row],[Data da Competência]]))</f>
        <v>12</v>
      </c>
      <c r="L47">
        <f>IF([1]!TbRegistroSaídas[[#This Row],[Data da Competência]]="",0,YEAR([1]!TbRegistroSaídas[[#This Row],[Data da Competência]]))</f>
        <v>2017</v>
      </c>
      <c r="M47">
        <f>IF([1]!TbRegistroSaídas[[#This Row],[Data do Caixa Previsto]]="",0,MONTH([1]!TbRegistroSaídas[[#This Row],[Data do Caixa Previsto]]))</f>
        <v>2</v>
      </c>
      <c r="N47">
        <f>IF([1]!TbRegistroSaídas[[#This Row],[Data do Caixa Previsto]]="",0,YEAR([1]!TbRegistroSaídas[[#This Row],[Data do Caixa Previsto]]))</f>
        <v>2018</v>
      </c>
      <c r="O4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2210.3892939192374</v>
      </c>
    </row>
    <row r="48" spans="2:15" x14ac:dyDescent="0.25">
      <c r="B48" s="11">
        <v>43098.200846805485</v>
      </c>
      <c r="C48" s="11">
        <v>43086</v>
      </c>
      <c r="D48" s="11">
        <v>43098.200846805485</v>
      </c>
      <c r="E48" t="s">
        <v>36</v>
      </c>
      <c r="F48" t="s">
        <v>31</v>
      </c>
      <c r="G48" t="s">
        <v>330</v>
      </c>
      <c r="H48" s="114">
        <v>3440</v>
      </c>
      <c r="I48">
        <f>IF([1]!TbRegistroSaídas[[#This Row],[Data do Caixa Realizado]]="",0,MONTH([1]!TbRegistroSaídas[[#This Row],[Data do Caixa Realizado]]))</f>
        <v>12</v>
      </c>
      <c r="J48">
        <f>IF([1]!TbRegistroSaídas[[#This Row],[Data do Caixa Realizado]]="",0,YEAR([1]!TbRegistroSaídas[[#This Row],[Data do Caixa Realizado]]))</f>
        <v>2017</v>
      </c>
      <c r="K48">
        <f>IF([1]!TbRegistroSaídas[[#This Row],[Data da Competência]]="",0,MONTH([1]!TbRegistroSaídas[[#This Row],[Data da Competência]]))</f>
        <v>12</v>
      </c>
      <c r="L48">
        <f>IF([1]!TbRegistroSaídas[[#This Row],[Data da Competência]]="",0,YEAR([1]!TbRegistroSaídas[[#This Row],[Data da Competência]]))</f>
        <v>2017</v>
      </c>
      <c r="M48">
        <f>IF([1]!TbRegistroSaídas[[#This Row],[Data do Caixa Previsto]]="",0,MONTH([1]!TbRegistroSaídas[[#This Row],[Data do Caixa Previsto]]))</f>
        <v>12</v>
      </c>
      <c r="N48">
        <f>IF([1]!TbRegistroSaídas[[#This Row],[Data do Caixa Previsto]]="",0,YEAR([1]!TbRegistroSaídas[[#This Row],[Data do Caixa Previsto]]))</f>
        <v>2017</v>
      </c>
      <c r="O4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49" spans="2:15" x14ac:dyDescent="0.25">
      <c r="B49" s="11">
        <v>43111.046742717648</v>
      </c>
      <c r="C49" s="11">
        <v>43089</v>
      </c>
      <c r="D49" s="11">
        <v>43111.046742717648</v>
      </c>
      <c r="E49" t="s">
        <v>36</v>
      </c>
      <c r="F49" t="s">
        <v>43</v>
      </c>
      <c r="G49" t="s">
        <v>331</v>
      </c>
      <c r="H49" s="114">
        <v>3993</v>
      </c>
      <c r="I49">
        <f>IF([1]!TbRegistroSaídas[[#This Row],[Data do Caixa Realizado]]="",0,MONTH([1]!TbRegistroSaídas[[#This Row],[Data do Caixa Realizado]]))</f>
        <v>1</v>
      </c>
      <c r="J49">
        <f>IF([1]!TbRegistroSaídas[[#This Row],[Data do Caixa Realizado]]="",0,YEAR([1]!TbRegistroSaídas[[#This Row],[Data do Caixa Realizado]]))</f>
        <v>2018</v>
      </c>
      <c r="K49">
        <f>IF([1]!TbRegistroSaídas[[#This Row],[Data da Competência]]="",0,MONTH([1]!TbRegistroSaídas[[#This Row],[Data da Competência]]))</f>
        <v>12</v>
      </c>
      <c r="L49">
        <f>IF([1]!TbRegistroSaídas[[#This Row],[Data da Competência]]="",0,YEAR([1]!TbRegistroSaídas[[#This Row],[Data da Competência]]))</f>
        <v>2017</v>
      </c>
      <c r="M49">
        <f>IF([1]!TbRegistroSaídas[[#This Row],[Data do Caixa Previsto]]="",0,MONTH([1]!TbRegistroSaídas[[#This Row],[Data do Caixa Previsto]]))</f>
        <v>1</v>
      </c>
      <c r="N49">
        <f>IF([1]!TbRegistroSaídas[[#This Row],[Data do Caixa Previsto]]="",0,YEAR([1]!TbRegistroSaídas[[#This Row],[Data do Caixa Previsto]]))</f>
        <v>2018</v>
      </c>
      <c r="O4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50" spans="2:15" x14ac:dyDescent="0.25">
      <c r="B50" s="11">
        <v>43151.424016681376</v>
      </c>
      <c r="C50" s="11">
        <v>43090</v>
      </c>
      <c r="D50" s="11">
        <v>43148.048932403181</v>
      </c>
      <c r="E50" t="s">
        <v>36</v>
      </c>
      <c r="F50" t="s">
        <v>43</v>
      </c>
      <c r="G50" t="s">
        <v>332</v>
      </c>
      <c r="H50" s="114">
        <v>3273</v>
      </c>
      <c r="I50">
        <f>IF([1]!TbRegistroSaídas[[#This Row],[Data do Caixa Realizado]]="",0,MONTH([1]!TbRegistroSaídas[[#This Row],[Data do Caixa Realizado]]))</f>
        <v>2</v>
      </c>
      <c r="J50">
        <f>IF([1]!TbRegistroSaídas[[#This Row],[Data do Caixa Realizado]]="",0,YEAR([1]!TbRegistroSaídas[[#This Row],[Data do Caixa Realizado]]))</f>
        <v>2018</v>
      </c>
      <c r="K50">
        <f>IF([1]!TbRegistroSaídas[[#This Row],[Data da Competência]]="",0,MONTH([1]!TbRegistroSaídas[[#This Row],[Data da Competência]]))</f>
        <v>12</v>
      </c>
      <c r="L50">
        <f>IF([1]!TbRegistroSaídas[[#This Row],[Data da Competência]]="",0,YEAR([1]!TbRegistroSaídas[[#This Row],[Data da Competência]]))</f>
        <v>2017</v>
      </c>
      <c r="M50">
        <f>IF([1]!TbRegistroSaídas[[#This Row],[Data do Caixa Previsto]]="",0,MONTH([1]!TbRegistroSaídas[[#This Row],[Data do Caixa Previsto]]))</f>
        <v>2</v>
      </c>
      <c r="N50">
        <f>IF([1]!TbRegistroSaídas[[#This Row],[Data do Caixa Previsto]]="",0,YEAR([1]!TbRegistroSaídas[[#This Row],[Data do Caixa Previsto]]))</f>
        <v>2018</v>
      </c>
      <c r="O5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3.3750842781955726</v>
      </c>
    </row>
    <row r="51" spans="2:15" x14ac:dyDescent="0.25">
      <c r="B51" s="11">
        <v>43094</v>
      </c>
      <c r="C51" s="11">
        <v>43094</v>
      </c>
      <c r="D51" s="11">
        <v>43094</v>
      </c>
      <c r="E51" t="s">
        <v>36</v>
      </c>
      <c r="F51" t="s">
        <v>31</v>
      </c>
      <c r="G51" t="s">
        <v>333</v>
      </c>
      <c r="H51" s="114">
        <v>4494</v>
      </c>
      <c r="I51">
        <f>IF([1]!TbRegistroSaídas[[#This Row],[Data do Caixa Realizado]]="",0,MONTH([1]!TbRegistroSaídas[[#This Row],[Data do Caixa Realizado]]))</f>
        <v>12</v>
      </c>
      <c r="J51">
        <f>IF([1]!TbRegistroSaídas[[#This Row],[Data do Caixa Realizado]]="",0,YEAR([1]!TbRegistroSaídas[[#This Row],[Data do Caixa Realizado]]))</f>
        <v>2017</v>
      </c>
      <c r="K51">
        <f>IF([1]!TbRegistroSaídas[[#This Row],[Data da Competência]]="",0,MONTH([1]!TbRegistroSaídas[[#This Row],[Data da Competência]]))</f>
        <v>12</v>
      </c>
      <c r="L51">
        <f>IF([1]!TbRegistroSaídas[[#This Row],[Data da Competência]]="",0,YEAR([1]!TbRegistroSaídas[[#This Row],[Data da Competência]]))</f>
        <v>2017</v>
      </c>
      <c r="M51">
        <f>IF([1]!TbRegistroSaídas[[#This Row],[Data do Caixa Previsto]]="",0,MONTH([1]!TbRegistroSaídas[[#This Row],[Data do Caixa Previsto]]))</f>
        <v>12</v>
      </c>
      <c r="N51">
        <f>IF([1]!TbRegistroSaídas[[#This Row],[Data do Caixa Previsto]]="",0,YEAR([1]!TbRegistroSaídas[[#This Row],[Data do Caixa Previsto]]))</f>
        <v>2017</v>
      </c>
      <c r="O5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52" spans="2:15" x14ac:dyDescent="0.25">
      <c r="B52" s="11">
        <v>43124.925483598126</v>
      </c>
      <c r="C52" s="11">
        <v>43096</v>
      </c>
      <c r="D52" s="11">
        <v>43124.925483598126</v>
      </c>
      <c r="E52" t="s">
        <v>36</v>
      </c>
      <c r="F52" t="s">
        <v>35</v>
      </c>
      <c r="G52" t="s">
        <v>334</v>
      </c>
      <c r="H52" s="114">
        <v>2511</v>
      </c>
      <c r="I52">
        <f>IF([1]!TbRegistroSaídas[[#This Row],[Data do Caixa Realizado]]="",0,MONTH([1]!TbRegistroSaídas[[#This Row],[Data do Caixa Realizado]]))</f>
        <v>1</v>
      </c>
      <c r="J52">
        <f>IF([1]!TbRegistroSaídas[[#This Row],[Data do Caixa Realizado]]="",0,YEAR([1]!TbRegistroSaídas[[#This Row],[Data do Caixa Realizado]]))</f>
        <v>2018</v>
      </c>
      <c r="K52">
        <f>IF([1]!TbRegistroSaídas[[#This Row],[Data da Competência]]="",0,MONTH([1]!TbRegistroSaídas[[#This Row],[Data da Competência]]))</f>
        <v>12</v>
      </c>
      <c r="L52">
        <f>IF([1]!TbRegistroSaídas[[#This Row],[Data da Competência]]="",0,YEAR([1]!TbRegistroSaídas[[#This Row],[Data da Competência]]))</f>
        <v>2017</v>
      </c>
      <c r="M52">
        <f>IF([1]!TbRegistroSaídas[[#This Row],[Data do Caixa Previsto]]="",0,MONTH([1]!TbRegistroSaídas[[#This Row],[Data do Caixa Previsto]]))</f>
        <v>1</v>
      </c>
      <c r="N52">
        <f>IF([1]!TbRegistroSaídas[[#This Row],[Data do Caixa Previsto]]="",0,YEAR([1]!TbRegistroSaídas[[#This Row],[Data do Caixa Previsto]]))</f>
        <v>2018</v>
      </c>
      <c r="O5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53" spans="2:15" x14ac:dyDescent="0.25">
      <c r="B53" s="11">
        <v>43098</v>
      </c>
      <c r="C53" s="11">
        <v>43098</v>
      </c>
      <c r="D53" s="11">
        <v>43098</v>
      </c>
      <c r="E53" t="s">
        <v>36</v>
      </c>
      <c r="F53" t="s">
        <v>32</v>
      </c>
      <c r="G53" t="s">
        <v>335</v>
      </c>
      <c r="H53" s="114">
        <v>2015</v>
      </c>
      <c r="I53">
        <f>IF([1]!TbRegistroSaídas[[#This Row],[Data do Caixa Realizado]]="",0,MONTH([1]!TbRegistroSaídas[[#This Row],[Data do Caixa Realizado]]))</f>
        <v>12</v>
      </c>
      <c r="J53">
        <f>IF([1]!TbRegistroSaídas[[#This Row],[Data do Caixa Realizado]]="",0,YEAR([1]!TbRegistroSaídas[[#This Row],[Data do Caixa Realizado]]))</f>
        <v>2017</v>
      </c>
      <c r="K53">
        <f>IF([1]!TbRegistroSaídas[[#This Row],[Data da Competência]]="",0,MONTH([1]!TbRegistroSaídas[[#This Row],[Data da Competência]]))</f>
        <v>12</v>
      </c>
      <c r="L53">
        <f>IF([1]!TbRegistroSaídas[[#This Row],[Data da Competência]]="",0,YEAR([1]!TbRegistroSaídas[[#This Row],[Data da Competência]]))</f>
        <v>2017</v>
      </c>
      <c r="M53">
        <f>IF([1]!TbRegistroSaídas[[#This Row],[Data do Caixa Previsto]]="",0,MONTH([1]!TbRegistroSaídas[[#This Row],[Data do Caixa Previsto]]))</f>
        <v>12</v>
      </c>
      <c r="N53">
        <f>IF([1]!TbRegistroSaídas[[#This Row],[Data do Caixa Previsto]]="",0,YEAR([1]!TbRegistroSaídas[[#This Row],[Data do Caixa Previsto]]))</f>
        <v>2017</v>
      </c>
      <c r="O5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54" spans="2:15" x14ac:dyDescent="0.25">
      <c r="B54" s="11" t="s">
        <v>68</v>
      </c>
      <c r="C54" s="11">
        <v>43100</v>
      </c>
      <c r="D54" s="11">
        <v>43151.353970851676</v>
      </c>
      <c r="E54" t="s">
        <v>36</v>
      </c>
      <c r="F54" t="s">
        <v>33</v>
      </c>
      <c r="G54" t="s">
        <v>336</v>
      </c>
      <c r="H54" s="114">
        <v>3413</v>
      </c>
      <c r="I54">
        <f>IF([1]!TbRegistroSaídas[[#This Row],[Data do Caixa Realizado]]="",0,MONTH([1]!TbRegistroSaídas[[#This Row],[Data do Caixa Realizado]]))</f>
        <v>0</v>
      </c>
      <c r="J54">
        <f>IF([1]!TbRegistroSaídas[[#This Row],[Data do Caixa Realizado]]="",0,YEAR([1]!TbRegistroSaídas[[#This Row],[Data do Caixa Realizado]]))</f>
        <v>0</v>
      </c>
      <c r="K54">
        <f>IF([1]!TbRegistroSaídas[[#This Row],[Data da Competência]]="",0,MONTH([1]!TbRegistroSaídas[[#This Row],[Data da Competência]]))</f>
        <v>12</v>
      </c>
      <c r="L54">
        <f>IF([1]!TbRegistroSaídas[[#This Row],[Data da Competência]]="",0,YEAR([1]!TbRegistroSaídas[[#This Row],[Data da Competência]]))</f>
        <v>2017</v>
      </c>
      <c r="M54">
        <f>IF([1]!TbRegistroSaídas[[#This Row],[Data do Caixa Previsto]]="",0,MONTH([1]!TbRegistroSaídas[[#This Row],[Data do Caixa Previsto]]))</f>
        <v>2</v>
      </c>
      <c r="N54">
        <f>IF([1]!TbRegistroSaídas[[#This Row],[Data do Caixa Previsto]]="",0,YEAR([1]!TbRegistroSaídas[[#This Row],[Data do Caixa Previsto]]))</f>
        <v>2018</v>
      </c>
      <c r="O5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2201.6460291483236</v>
      </c>
    </row>
    <row r="55" spans="2:15" x14ac:dyDescent="0.25">
      <c r="B55" s="11">
        <v>43108.84859147996</v>
      </c>
      <c r="C55" s="11">
        <v>43103</v>
      </c>
      <c r="D55" s="11">
        <v>43108.84859147996</v>
      </c>
      <c r="E55" t="s">
        <v>36</v>
      </c>
      <c r="F55" t="s">
        <v>35</v>
      </c>
      <c r="G55" t="s">
        <v>337</v>
      </c>
      <c r="H55" s="114">
        <v>4087</v>
      </c>
      <c r="I55">
        <f>IF([1]!TbRegistroSaídas[[#This Row],[Data do Caixa Realizado]]="",0,MONTH([1]!TbRegistroSaídas[[#This Row],[Data do Caixa Realizado]]))</f>
        <v>1</v>
      </c>
      <c r="J55">
        <f>IF([1]!TbRegistroSaídas[[#This Row],[Data do Caixa Realizado]]="",0,YEAR([1]!TbRegistroSaídas[[#This Row],[Data do Caixa Realizado]]))</f>
        <v>2018</v>
      </c>
      <c r="K55">
        <f>IF([1]!TbRegistroSaídas[[#This Row],[Data da Competência]]="",0,MONTH([1]!TbRegistroSaídas[[#This Row],[Data da Competência]]))</f>
        <v>1</v>
      </c>
      <c r="L55">
        <f>IF([1]!TbRegistroSaídas[[#This Row],[Data da Competência]]="",0,YEAR([1]!TbRegistroSaídas[[#This Row],[Data da Competência]]))</f>
        <v>2018</v>
      </c>
      <c r="M55">
        <f>IF([1]!TbRegistroSaídas[[#This Row],[Data do Caixa Previsto]]="",0,MONTH([1]!TbRegistroSaídas[[#This Row],[Data do Caixa Previsto]]))</f>
        <v>1</v>
      </c>
      <c r="N55">
        <f>IF([1]!TbRegistroSaídas[[#This Row],[Data do Caixa Previsto]]="",0,YEAR([1]!TbRegistroSaídas[[#This Row],[Data do Caixa Previsto]]))</f>
        <v>2018</v>
      </c>
      <c r="O5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56" spans="2:15" x14ac:dyDescent="0.25">
      <c r="B56" s="11">
        <v>43117.371907988454</v>
      </c>
      <c r="C56" s="11">
        <v>43106</v>
      </c>
      <c r="D56" s="11">
        <v>43117.371907988454</v>
      </c>
      <c r="E56" t="s">
        <v>36</v>
      </c>
      <c r="F56" t="s">
        <v>43</v>
      </c>
      <c r="G56" t="s">
        <v>338</v>
      </c>
      <c r="H56" s="114">
        <v>2441</v>
      </c>
      <c r="I56">
        <f>IF([1]!TbRegistroSaídas[[#This Row],[Data do Caixa Realizado]]="",0,MONTH([1]!TbRegistroSaídas[[#This Row],[Data do Caixa Realizado]]))</f>
        <v>1</v>
      </c>
      <c r="J56">
        <f>IF([1]!TbRegistroSaídas[[#This Row],[Data do Caixa Realizado]]="",0,YEAR([1]!TbRegistroSaídas[[#This Row],[Data do Caixa Realizado]]))</f>
        <v>2018</v>
      </c>
      <c r="K56">
        <f>IF([1]!TbRegistroSaídas[[#This Row],[Data da Competência]]="",0,MONTH([1]!TbRegistroSaídas[[#This Row],[Data da Competência]]))</f>
        <v>1</v>
      </c>
      <c r="L56">
        <f>IF([1]!TbRegistroSaídas[[#This Row],[Data da Competência]]="",0,YEAR([1]!TbRegistroSaídas[[#This Row],[Data da Competência]]))</f>
        <v>2018</v>
      </c>
      <c r="M56">
        <f>IF([1]!TbRegistroSaídas[[#This Row],[Data do Caixa Previsto]]="",0,MONTH([1]!TbRegistroSaídas[[#This Row],[Data do Caixa Previsto]]))</f>
        <v>1</v>
      </c>
      <c r="N56">
        <f>IF([1]!TbRegistroSaídas[[#This Row],[Data do Caixa Previsto]]="",0,YEAR([1]!TbRegistroSaídas[[#This Row],[Data do Caixa Previsto]]))</f>
        <v>2018</v>
      </c>
      <c r="O5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57" spans="2:15" x14ac:dyDescent="0.25">
      <c r="B57" s="11" t="s">
        <v>68</v>
      </c>
      <c r="C57" s="11">
        <v>43109</v>
      </c>
      <c r="D57" s="11">
        <v>43109</v>
      </c>
      <c r="E57" t="s">
        <v>36</v>
      </c>
      <c r="F57" t="s">
        <v>32</v>
      </c>
      <c r="G57" t="s">
        <v>339</v>
      </c>
      <c r="H57" s="114">
        <v>3598</v>
      </c>
      <c r="I57">
        <f>IF([1]!TbRegistroSaídas[[#This Row],[Data do Caixa Realizado]]="",0,MONTH([1]!TbRegistroSaídas[[#This Row],[Data do Caixa Realizado]]))</f>
        <v>0</v>
      </c>
      <c r="J57">
        <f>IF([1]!TbRegistroSaídas[[#This Row],[Data do Caixa Realizado]]="",0,YEAR([1]!TbRegistroSaídas[[#This Row],[Data do Caixa Realizado]]))</f>
        <v>0</v>
      </c>
      <c r="K57">
        <f>IF([1]!TbRegistroSaídas[[#This Row],[Data da Competência]]="",0,MONTH([1]!TbRegistroSaídas[[#This Row],[Data da Competência]]))</f>
        <v>1</v>
      </c>
      <c r="L57">
        <f>IF([1]!TbRegistroSaídas[[#This Row],[Data da Competência]]="",0,YEAR([1]!TbRegistroSaídas[[#This Row],[Data da Competência]]))</f>
        <v>2018</v>
      </c>
      <c r="M57">
        <f>IF([1]!TbRegistroSaídas[[#This Row],[Data do Caixa Previsto]]="",0,MONTH([1]!TbRegistroSaídas[[#This Row],[Data do Caixa Previsto]]))</f>
        <v>1</v>
      </c>
      <c r="N57">
        <f>IF([1]!TbRegistroSaídas[[#This Row],[Data do Caixa Previsto]]="",0,YEAR([1]!TbRegistroSaídas[[#This Row],[Data do Caixa Previsto]]))</f>
        <v>2018</v>
      </c>
      <c r="O5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2244</v>
      </c>
    </row>
    <row r="58" spans="2:15" x14ac:dyDescent="0.25">
      <c r="B58" s="11">
        <v>43110</v>
      </c>
      <c r="C58" s="11">
        <v>43110</v>
      </c>
      <c r="D58" s="11">
        <v>43110</v>
      </c>
      <c r="E58" t="s">
        <v>36</v>
      </c>
      <c r="F58" t="s">
        <v>43</v>
      </c>
      <c r="G58" t="s">
        <v>340</v>
      </c>
      <c r="H58" s="114">
        <v>4895</v>
      </c>
      <c r="I58">
        <f>IF([1]!TbRegistroSaídas[[#This Row],[Data do Caixa Realizado]]="",0,MONTH([1]!TbRegistroSaídas[[#This Row],[Data do Caixa Realizado]]))</f>
        <v>1</v>
      </c>
      <c r="J58">
        <f>IF([1]!TbRegistroSaídas[[#This Row],[Data do Caixa Realizado]]="",0,YEAR([1]!TbRegistroSaídas[[#This Row],[Data do Caixa Realizado]]))</f>
        <v>2018</v>
      </c>
      <c r="K58">
        <f>IF([1]!TbRegistroSaídas[[#This Row],[Data da Competência]]="",0,MONTH([1]!TbRegistroSaídas[[#This Row],[Data da Competência]]))</f>
        <v>1</v>
      </c>
      <c r="L58">
        <f>IF([1]!TbRegistroSaídas[[#This Row],[Data da Competência]]="",0,YEAR([1]!TbRegistroSaídas[[#This Row],[Data da Competência]]))</f>
        <v>2018</v>
      </c>
      <c r="M58">
        <f>IF([1]!TbRegistroSaídas[[#This Row],[Data do Caixa Previsto]]="",0,MONTH([1]!TbRegistroSaídas[[#This Row],[Data do Caixa Previsto]]))</f>
        <v>1</v>
      </c>
      <c r="N58">
        <f>IF([1]!TbRegistroSaídas[[#This Row],[Data do Caixa Previsto]]="",0,YEAR([1]!TbRegistroSaídas[[#This Row],[Data do Caixa Previsto]]))</f>
        <v>2018</v>
      </c>
      <c r="O5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59" spans="2:15" x14ac:dyDescent="0.25">
      <c r="B59" s="11" t="s">
        <v>68</v>
      </c>
      <c r="C59" s="11">
        <v>43112</v>
      </c>
      <c r="D59" s="11">
        <v>43112</v>
      </c>
      <c r="E59" t="s">
        <v>36</v>
      </c>
      <c r="F59" t="s">
        <v>43</v>
      </c>
      <c r="G59" t="s">
        <v>341</v>
      </c>
      <c r="H59" s="114">
        <v>971</v>
      </c>
      <c r="I59">
        <f>IF([1]!TbRegistroSaídas[[#This Row],[Data do Caixa Realizado]]="",0,MONTH([1]!TbRegistroSaídas[[#This Row],[Data do Caixa Realizado]]))</f>
        <v>0</v>
      </c>
      <c r="J59">
        <f>IF([1]!TbRegistroSaídas[[#This Row],[Data do Caixa Realizado]]="",0,YEAR([1]!TbRegistroSaídas[[#This Row],[Data do Caixa Realizado]]))</f>
        <v>0</v>
      </c>
      <c r="K59">
        <f>IF([1]!TbRegistroSaídas[[#This Row],[Data da Competência]]="",0,MONTH([1]!TbRegistroSaídas[[#This Row],[Data da Competência]]))</f>
        <v>1</v>
      </c>
      <c r="L59">
        <f>IF([1]!TbRegistroSaídas[[#This Row],[Data da Competência]]="",0,YEAR([1]!TbRegistroSaídas[[#This Row],[Data da Competência]]))</f>
        <v>2018</v>
      </c>
      <c r="M59">
        <f>IF([1]!TbRegistroSaídas[[#This Row],[Data do Caixa Previsto]]="",0,MONTH([1]!TbRegistroSaídas[[#This Row],[Data do Caixa Previsto]]))</f>
        <v>1</v>
      </c>
      <c r="N59">
        <f>IF([1]!TbRegistroSaídas[[#This Row],[Data do Caixa Previsto]]="",0,YEAR([1]!TbRegistroSaídas[[#This Row],[Data do Caixa Previsto]]))</f>
        <v>2018</v>
      </c>
      <c r="O5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2241</v>
      </c>
    </row>
    <row r="60" spans="2:15" x14ac:dyDescent="0.25">
      <c r="B60" s="11">
        <v>43137.043955849207</v>
      </c>
      <c r="C60" s="11">
        <v>43113</v>
      </c>
      <c r="D60" s="11">
        <v>43137.043955849207</v>
      </c>
      <c r="E60" t="s">
        <v>36</v>
      </c>
      <c r="F60" t="s">
        <v>35</v>
      </c>
      <c r="G60" t="s">
        <v>342</v>
      </c>
      <c r="H60" s="114">
        <v>556</v>
      </c>
      <c r="I60">
        <f>IF([1]!TbRegistroSaídas[[#This Row],[Data do Caixa Realizado]]="",0,MONTH([1]!TbRegistroSaídas[[#This Row],[Data do Caixa Realizado]]))</f>
        <v>2</v>
      </c>
      <c r="J60">
        <f>IF([1]!TbRegistroSaídas[[#This Row],[Data do Caixa Realizado]]="",0,YEAR([1]!TbRegistroSaídas[[#This Row],[Data do Caixa Realizado]]))</f>
        <v>2018</v>
      </c>
      <c r="K60">
        <f>IF([1]!TbRegistroSaídas[[#This Row],[Data da Competência]]="",0,MONTH([1]!TbRegistroSaídas[[#This Row],[Data da Competência]]))</f>
        <v>1</v>
      </c>
      <c r="L60">
        <f>IF([1]!TbRegistroSaídas[[#This Row],[Data da Competência]]="",0,YEAR([1]!TbRegistroSaídas[[#This Row],[Data da Competência]]))</f>
        <v>2018</v>
      </c>
      <c r="M60">
        <f>IF([1]!TbRegistroSaídas[[#This Row],[Data do Caixa Previsto]]="",0,MONTH([1]!TbRegistroSaídas[[#This Row],[Data do Caixa Previsto]]))</f>
        <v>2</v>
      </c>
      <c r="N60">
        <f>IF([1]!TbRegistroSaídas[[#This Row],[Data do Caixa Previsto]]="",0,YEAR([1]!TbRegistroSaídas[[#This Row],[Data do Caixa Previsto]]))</f>
        <v>2018</v>
      </c>
      <c r="O6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61" spans="2:15" x14ac:dyDescent="0.25">
      <c r="B61" s="11">
        <v>43144.881827671154</v>
      </c>
      <c r="C61" s="11">
        <v>43114</v>
      </c>
      <c r="D61" s="11">
        <v>43144.881827671154</v>
      </c>
      <c r="E61" t="s">
        <v>36</v>
      </c>
      <c r="F61" t="s">
        <v>35</v>
      </c>
      <c r="G61" t="s">
        <v>343</v>
      </c>
      <c r="H61" s="114">
        <v>1977</v>
      </c>
      <c r="I61">
        <f>IF([1]!TbRegistroSaídas[[#This Row],[Data do Caixa Realizado]]="",0,MONTH([1]!TbRegistroSaídas[[#This Row],[Data do Caixa Realizado]]))</f>
        <v>2</v>
      </c>
      <c r="J61">
        <f>IF([1]!TbRegistroSaídas[[#This Row],[Data do Caixa Realizado]]="",0,YEAR([1]!TbRegistroSaídas[[#This Row],[Data do Caixa Realizado]]))</f>
        <v>2018</v>
      </c>
      <c r="K61">
        <f>IF([1]!TbRegistroSaídas[[#This Row],[Data da Competência]]="",0,MONTH([1]!TbRegistroSaídas[[#This Row],[Data da Competência]]))</f>
        <v>1</v>
      </c>
      <c r="L61">
        <f>IF([1]!TbRegistroSaídas[[#This Row],[Data da Competência]]="",0,YEAR([1]!TbRegistroSaídas[[#This Row],[Data da Competência]]))</f>
        <v>2018</v>
      </c>
      <c r="M61">
        <f>IF([1]!TbRegistroSaídas[[#This Row],[Data do Caixa Previsto]]="",0,MONTH([1]!TbRegistroSaídas[[#This Row],[Data do Caixa Previsto]]))</f>
        <v>2</v>
      </c>
      <c r="N61">
        <f>IF([1]!TbRegistroSaídas[[#This Row],[Data do Caixa Previsto]]="",0,YEAR([1]!TbRegistroSaídas[[#This Row],[Data do Caixa Previsto]]))</f>
        <v>2018</v>
      </c>
      <c r="O6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62" spans="2:15" x14ac:dyDescent="0.25">
      <c r="B62" s="11">
        <v>43116</v>
      </c>
      <c r="C62" s="11">
        <v>43116</v>
      </c>
      <c r="D62" s="11">
        <v>43116</v>
      </c>
      <c r="E62" t="s">
        <v>36</v>
      </c>
      <c r="F62" t="s">
        <v>43</v>
      </c>
      <c r="G62" t="s">
        <v>296</v>
      </c>
      <c r="H62" s="114">
        <v>2951</v>
      </c>
      <c r="I62">
        <f>IF([1]!TbRegistroSaídas[[#This Row],[Data do Caixa Realizado]]="",0,MONTH([1]!TbRegistroSaídas[[#This Row],[Data do Caixa Realizado]]))</f>
        <v>1</v>
      </c>
      <c r="J62">
        <f>IF([1]!TbRegistroSaídas[[#This Row],[Data do Caixa Realizado]]="",0,YEAR([1]!TbRegistroSaídas[[#This Row],[Data do Caixa Realizado]]))</f>
        <v>2018</v>
      </c>
      <c r="K62">
        <f>IF([1]!TbRegistroSaídas[[#This Row],[Data da Competência]]="",0,MONTH([1]!TbRegistroSaídas[[#This Row],[Data da Competência]]))</f>
        <v>1</v>
      </c>
      <c r="L62">
        <f>IF([1]!TbRegistroSaídas[[#This Row],[Data da Competência]]="",0,YEAR([1]!TbRegistroSaídas[[#This Row],[Data da Competência]]))</f>
        <v>2018</v>
      </c>
      <c r="M62">
        <f>IF([1]!TbRegistroSaídas[[#This Row],[Data do Caixa Previsto]]="",0,MONTH([1]!TbRegistroSaídas[[#This Row],[Data do Caixa Previsto]]))</f>
        <v>1</v>
      </c>
      <c r="N62">
        <f>IF([1]!TbRegistroSaídas[[#This Row],[Data do Caixa Previsto]]="",0,YEAR([1]!TbRegistroSaídas[[#This Row],[Data do Caixa Previsto]]))</f>
        <v>2018</v>
      </c>
      <c r="O6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63" spans="2:15" x14ac:dyDescent="0.25">
      <c r="B63" s="11">
        <v>43133.162680701178</v>
      </c>
      <c r="C63" s="11">
        <v>43120</v>
      </c>
      <c r="D63" s="11">
        <v>43120</v>
      </c>
      <c r="E63" t="s">
        <v>36</v>
      </c>
      <c r="F63" t="s">
        <v>43</v>
      </c>
      <c r="G63" t="s">
        <v>344</v>
      </c>
      <c r="H63" s="114">
        <v>2535</v>
      </c>
      <c r="I63">
        <f>IF([1]!TbRegistroSaídas[[#This Row],[Data do Caixa Realizado]]="",0,MONTH([1]!TbRegistroSaídas[[#This Row],[Data do Caixa Realizado]]))</f>
        <v>2</v>
      </c>
      <c r="J63">
        <f>IF([1]!TbRegistroSaídas[[#This Row],[Data do Caixa Realizado]]="",0,YEAR([1]!TbRegistroSaídas[[#This Row],[Data do Caixa Realizado]]))</f>
        <v>2018</v>
      </c>
      <c r="K63">
        <f>IF([1]!TbRegistroSaídas[[#This Row],[Data da Competência]]="",0,MONTH([1]!TbRegistroSaídas[[#This Row],[Data da Competência]]))</f>
        <v>1</v>
      </c>
      <c r="L63">
        <f>IF([1]!TbRegistroSaídas[[#This Row],[Data da Competência]]="",0,YEAR([1]!TbRegistroSaídas[[#This Row],[Data da Competência]]))</f>
        <v>2018</v>
      </c>
      <c r="M63">
        <f>IF([1]!TbRegistroSaídas[[#This Row],[Data do Caixa Previsto]]="",0,MONTH([1]!TbRegistroSaídas[[#This Row],[Data do Caixa Previsto]]))</f>
        <v>1</v>
      </c>
      <c r="N63">
        <f>IF([1]!TbRegistroSaídas[[#This Row],[Data do Caixa Previsto]]="",0,YEAR([1]!TbRegistroSaídas[[#This Row],[Data do Caixa Previsto]]))</f>
        <v>2018</v>
      </c>
      <c r="O6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13.162680701178033</v>
      </c>
    </row>
    <row r="64" spans="2:15" x14ac:dyDescent="0.25">
      <c r="B64" s="11">
        <v>43141.579590343346</v>
      </c>
      <c r="C64" s="11">
        <v>43121</v>
      </c>
      <c r="D64" s="11">
        <v>43141.579590343346</v>
      </c>
      <c r="E64" t="s">
        <v>36</v>
      </c>
      <c r="F64" t="s">
        <v>31</v>
      </c>
      <c r="G64" t="s">
        <v>345</v>
      </c>
      <c r="H64" s="114">
        <v>3057</v>
      </c>
      <c r="I64">
        <f>IF([1]!TbRegistroSaídas[[#This Row],[Data do Caixa Realizado]]="",0,MONTH([1]!TbRegistroSaídas[[#This Row],[Data do Caixa Realizado]]))</f>
        <v>2</v>
      </c>
      <c r="J64">
        <f>IF([1]!TbRegistroSaídas[[#This Row],[Data do Caixa Realizado]]="",0,YEAR([1]!TbRegistroSaídas[[#This Row],[Data do Caixa Realizado]]))</f>
        <v>2018</v>
      </c>
      <c r="K64">
        <f>IF([1]!TbRegistroSaídas[[#This Row],[Data da Competência]]="",0,MONTH([1]!TbRegistroSaídas[[#This Row],[Data da Competência]]))</f>
        <v>1</v>
      </c>
      <c r="L64">
        <f>IF([1]!TbRegistroSaídas[[#This Row],[Data da Competência]]="",0,YEAR([1]!TbRegistroSaídas[[#This Row],[Data da Competência]]))</f>
        <v>2018</v>
      </c>
      <c r="M64">
        <f>IF([1]!TbRegistroSaídas[[#This Row],[Data do Caixa Previsto]]="",0,MONTH([1]!TbRegistroSaídas[[#This Row],[Data do Caixa Previsto]]))</f>
        <v>2</v>
      </c>
      <c r="N64">
        <f>IF([1]!TbRegistroSaídas[[#This Row],[Data do Caixa Previsto]]="",0,YEAR([1]!TbRegistroSaídas[[#This Row],[Data do Caixa Previsto]]))</f>
        <v>2018</v>
      </c>
      <c r="O6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65" spans="2:15" x14ac:dyDescent="0.25">
      <c r="B65" s="11">
        <v>43140.52607681365</v>
      </c>
      <c r="C65" s="11">
        <v>43123</v>
      </c>
      <c r="D65" s="11">
        <v>43140.52607681365</v>
      </c>
      <c r="E65" t="s">
        <v>36</v>
      </c>
      <c r="F65" t="s">
        <v>35</v>
      </c>
      <c r="G65" t="s">
        <v>346</v>
      </c>
      <c r="H65" s="114">
        <v>3152</v>
      </c>
      <c r="I65">
        <f>IF([1]!TbRegistroSaídas[[#This Row],[Data do Caixa Realizado]]="",0,MONTH([1]!TbRegistroSaídas[[#This Row],[Data do Caixa Realizado]]))</f>
        <v>2</v>
      </c>
      <c r="J65">
        <f>IF([1]!TbRegistroSaídas[[#This Row],[Data do Caixa Realizado]]="",0,YEAR([1]!TbRegistroSaídas[[#This Row],[Data do Caixa Realizado]]))</f>
        <v>2018</v>
      </c>
      <c r="K65">
        <f>IF([1]!TbRegistroSaídas[[#This Row],[Data da Competência]]="",0,MONTH([1]!TbRegistroSaídas[[#This Row],[Data da Competência]]))</f>
        <v>1</v>
      </c>
      <c r="L65">
        <f>IF([1]!TbRegistroSaídas[[#This Row],[Data da Competência]]="",0,YEAR([1]!TbRegistroSaídas[[#This Row],[Data da Competência]]))</f>
        <v>2018</v>
      </c>
      <c r="M65">
        <f>IF([1]!TbRegistroSaídas[[#This Row],[Data do Caixa Previsto]]="",0,MONTH([1]!TbRegistroSaídas[[#This Row],[Data do Caixa Previsto]]))</f>
        <v>2</v>
      </c>
      <c r="N65">
        <f>IF([1]!TbRegistroSaídas[[#This Row],[Data do Caixa Previsto]]="",0,YEAR([1]!TbRegistroSaídas[[#This Row],[Data do Caixa Previsto]]))</f>
        <v>2018</v>
      </c>
      <c r="O6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66" spans="2:15" x14ac:dyDescent="0.25">
      <c r="B66" s="11" t="s">
        <v>68</v>
      </c>
      <c r="C66" s="11">
        <v>43125</v>
      </c>
      <c r="D66" s="11">
        <v>43125</v>
      </c>
      <c r="E66" t="s">
        <v>36</v>
      </c>
      <c r="F66" t="s">
        <v>33</v>
      </c>
      <c r="G66" t="s">
        <v>347</v>
      </c>
      <c r="H66" s="114">
        <v>2247</v>
      </c>
      <c r="I66">
        <f>IF([1]!TbRegistroSaídas[[#This Row],[Data do Caixa Realizado]]="",0,MONTH([1]!TbRegistroSaídas[[#This Row],[Data do Caixa Realizado]]))</f>
        <v>0</v>
      </c>
      <c r="J66">
        <f>IF([1]!TbRegistroSaídas[[#This Row],[Data do Caixa Realizado]]="",0,YEAR([1]!TbRegistroSaídas[[#This Row],[Data do Caixa Realizado]]))</f>
        <v>0</v>
      </c>
      <c r="K66">
        <f>IF([1]!TbRegistroSaídas[[#This Row],[Data da Competência]]="",0,MONTH([1]!TbRegistroSaídas[[#This Row],[Data da Competência]]))</f>
        <v>1</v>
      </c>
      <c r="L66">
        <f>IF([1]!TbRegistroSaídas[[#This Row],[Data da Competência]]="",0,YEAR([1]!TbRegistroSaídas[[#This Row],[Data da Competência]]))</f>
        <v>2018</v>
      </c>
      <c r="M66">
        <f>IF([1]!TbRegistroSaídas[[#This Row],[Data do Caixa Previsto]]="",0,MONTH([1]!TbRegistroSaídas[[#This Row],[Data do Caixa Previsto]]))</f>
        <v>1</v>
      </c>
      <c r="N66">
        <f>IF([1]!TbRegistroSaídas[[#This Row],[Data do Caixa Previsto]]="",0,YEAR([1]!TbRegistroSaídas[[#This Row],[Data do Caixa Previsto]]))</f>
        <v>2018</v>
      </c>
      <c r="O6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2228</v>
      </c>
    </row>
    <row r="67" spans="2:15" x14ac:dyDescent="0.25">
      <c r="B67" s="11">
        <v>43178.877965147498</v>
      </c>
      <c r="C67" s="11">
        <v>43127</v>
      </c>
      <c r="D67" s="11">
        <v>43127</v>
      </c>
      <c r="E67" t="s">
        <v>36</v>
      </c>
      <c r="F67" t="s">
        <v>32</v>
      </c>
      <c r="G67" t="s">
        <v>348</v>
      </c>
      <c r="H67" s="114">
        <v>2456</v>
      </c>
      <c r="I67">
        <f>IF([1]!TbRegistroSaídas[[#This Row],[Data do Caixa Realizado]]="",0,MONTH([1]!TbRegistroSaídas[[#This Row],[Data do Caixa Realizado]]))</f>
        <v>3</v>
      </c>
      <c r="J67">
        <f>IF([1]!TbRegistroSaídas[[#This Row],[Data do Caixa Realizado]]="",0,YEAR([1]!TbRegistroSaídas[[#This Row],[Data do Caixa Realizado]]))</f>
        <v>2018</v>
      </c>
      <c r="K67">
        <f>IF([1]!TbRegistroSaídas[[#This Row],[Data da Competência]]="",0,MONTH([1]!TbRegistroSaídas[[#This Row],[Data da Competência]]))</f>
        <v>1</v>
      </c>
      <c r="L67">
        <f>IF([1]!TbRegistroSaídas[[#This Row],[Data da Competência]]="",0,YEAR([1]!TbRegistroSaídas[[#This Row],[Data da Competência]]))</f>
        <v>2018</v>
      </c>
      <c r="M67">
        <f>IF([1]!TbRegistroSaídas[[#This Row],[Data do Caixa Previsto]]="",0,MONTH([1]!TbRegistroSaídas[[#This Row],[Data do Caixa Previsto]]))</f>
        <v>1</v>
      </c>
      <c r="N67">
        <f>IF([1]!TbRegistroSaídas[[#This Row],[Data do Caixa Previsto]]="",0,YEAR([1]!TbRegistroSaídas[[#This Row],[Data do Caixa Previsto]]))</f>
        <v>2018</v>
      </c>
      <c r="O6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51.877965147497889</v>
      </c>
    </row>
    <row r="68" spans="2:15" x14ac:dyDescent="0.25">
      <c r="B68" s="11">
        <v>43215.696985745286</v>
      </c>
      <c r="C68" s="11">
        <v>43129</v>
      </c>
      <c r="D68" s="11">
        <v>43129</v>
      </c>
      <c r="E68" t="s">
        <v>36</v>
      </c>
      <c r="F68" t="s">
        <v>43</v>
      </c>
      <c r="G68" t="s">
        <v>349</v>
      </c>
      <c r="H68" s="114">
        <v>3801</v>
      </c>
      <c r="I68">
        <f>IF([1]!TbRegistroSaídas[[#This Row],[Data do Caixa Realizado]]="",0,MONTH([1]!TbRegistroSaídas[[#This Row],[Data do Caixa Realizado]]))</f>
        <v>4</v>
      </c>
      <c r="J68">
        <f>IF([1]!TbRegistroSaídas[[#This Row],[Data do Caixa Realizado]]="",0,YEAR([1]!TbRegistroSaídas[[#This Row],[Data do Caixa Realizado]]))</f>
        <v>2018</v>
      </c>
      <c r="K68">
        <f>IF([1]!TbRegistroSaídas[[#This Row],[Data da Competência]]="",0,MONTH([1]!TbRegistroSaídas[[#This Row],[Data da Competência]]))</f>
        <v>1</v>
      </c>
      <c r="L68">
        <f>IF([1]!TbRegistroSaídas[[#This Row],[Data da Competência]]="",0,YEAR([1]!TbRegistroSaídas[[#This Row],[Data da Competência]]))</f>
        <v>2018</v>
      </c>
      <c r="M68">
        <f>IF([1]!TbRegistroSaídas[[#This Row],[Data do Caixa Previsto]]="",0,MONTH([1]!TbRegistroSaídas[[#This Row],[Data do Caixa Previsto]]))</f>
        <v>1</v>
      </c>
      <c r="N68">
        <f>IF([1]!TbRegistroSaídas[[#This Row],[Data do Caixa Previsto]]="",0,YEAR([1]!TbRegistroSaídas[[#This Row],[Data do Caixa Previsto]]))</f>
        <v>2018</v>
      </c>
      <c r="O6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86.696985745285929</v>
      </c>
    </row>
    <row r="69" spans="2:15" x14ac:dyDescent="0.25">
      <c r="B69" s="11">
        <v>43131</v>
      </c>
      <c r="C69" s="11">
        <v>43131</v>
      </c>
      <c r="D69" s="11">
        <v>43131</v>
      </c>
      <c r="E69" t="s">
        <v>36</v>
      </c>
      <c r="F69" t="s">
        <v>35</v>
      </c>
      <c r="G69" t="s">
        <v>350</v>
      </c>
      <c r="H69" s="114">
        <v>3049</v>
      </c>
      <c r="I69">
        <f>IF([1]!TbRegistroSaídas[[#This Row],[Data do Caixa Realizado]]="",0,MONTH([1]!TbRegistroSaídas[[#This Row],[Data do Caixa Realizado]]))</f>
        <v>1</v>
      </c>
      <c r="J69">
        <f>IF([1]!TbRegistroSaídas[[#This Row],[Data do Caixa Realizado]]="",0,YEAR([1]!TbRegistroSaídas[[#This Row],[Data do Caixa Realizado]]))</f>
        <v>2018</v>
      </c>
      <c r="K69">
        <f>IF([1]!TbRegistroSaídas[[#This Row],[Data da Competência]]="",0,MONTH([1]!TbRegistroSaídas[[#This Row],[Data da Competência]]))</f>
        <v>1</v>
      </c>
      <c r="L69">
        <f>IF([1]!TbRegistroSaídas[[#This Row],[Data da Competência]]="",0,YEAR([1]!TbRegistroSaídas[[#This Row],[Data da Competência]]))</f>
        <v>2018</v>
      </c>
      <c r="M69">
        <f>IF([1]!TbRegistroSaídas[[#This Row],[Data do Caixa Previsto]]="",0,MONTH([1]!TbRegistroSaídas[[#This Row],[Data do Caixa Previsto]]))</f>
        <v>1</v>
      </c>
      <c r="N69">
        <f>IF([1]!TbRegistroSaídas[[#This Row],[Data do Caixa Previsto]]="",0,YEAR([1]!TbRegistroSaídas[[#This Row],[Data do Caixa Previsto]]))</f>
        <v>2018</v>
      </c>
      <c r="O6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70" spans="2:15" x14ac:dyDescent="0.25">
      <c r="B70" s="11" t="s">
        <v>68</v>
      </c>
      <c r="C70" s="11">
        <v>43135</v>
      </c>
      <c r="D70" s="11">
        <v>43135</v>
      </c>
      <c r="E70" t="s">
        <v>36</v>
      </c>
      <c r="F70" t="s">
        <v>31</v>
      </c>
      <c r="G70" t="s">
        <v>351</v>
      </c>
      <c r="H70" s="114">
        <v>3255</v>
      </c>
      <c r="I70">
        <f>IF([1]!TbRegistroSaídas[[#This Row],[Data do Caixa Realizado]]="",0,MONTH([1]!TbRegistroSaídas[[#This Row],[Data do Caixa Realizado]]))</f>
        <v>0</v>
      </c>
      <c r="J70">
        <f>IF([1]!TbRegistroSaídas[[#This Row],[Data do Caixa Realizado]]="",0,YEAR([1]!TbRegistroSaídas[[#This Row],[Data do Caixa Realizado]]))</f>
        <v>0</v>
      </c>
      <c r="K70">
        <f>IF([1]!TbRegistroSaídas[[#This Row],[Data da Competência]]="",0,MONTH([1]!TbRegistroSaídas[[#This Row],[Data da Competência]]))</f>
        <v>2</v>
      </c>
      <c r="L70">
        <f>IF([1]!TbRegistroSaídas[[#This Row],[Data da Competência]]="",0,YEAR([1]!TbRegistroSaídas[[#This Row],[Data da Competência]]))</f>
        <v>2018</v>
      </c>
      <c r="M70">
        <f>IF([1]!TbRegistroSaídas[[#This Row],[Data do Caixa Previsto]]="",0,MONTH([1]!TbRegistroSaídas[[#This Row],[Data do Caixa Previsto]]))</f>
        <v>2</v>
      </c>
      <c r="N70">
        <f>IF([1]!TbRegistroSaídas[[#This Row],[Data do Caixa Previsto]]="",0,YEAR([1]!TbRegistroSaídas[[#This Row],[Data do Caixa Previsto]]))</f>
        <v>2018</v>
      </c>
      <c r="O7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2218</v>
      </c>
    </row>
    <row r="71" spans="2:15" x14ac:dyDescent="0.25">
      <c r="B71" s="11">
        <v>43136</v>
      </c>
      <c r="C71" s="11">
        <v>43136</v>
      </c>
      <c r="D71" s="11">
        <v>43136</v>
      </c>
      <c r="E71" t="s">
        <v>36</v>
      </c>
      <c r="F71" t="s">
        <v>43</v>
      </c>
      <c r="G71" t="s">
        <v>352</v>
      </c>
      <c r="H71" s="114">
        <v>2074</v>
      </c>
      <c r="I71">
        <f>IF([1]!TbRegistroSaídas[[#This Row],[Data do Caixa Realizado]]="",0,MONTH([1]!TbRegistroSaídas[[#This Row],[Data do Caixa Realizado]]))</f>
        <v>2</v>
      </c>
      <c r="J71">
        <f>IF([1]!TbRegistroSaídas[[#This Row],[Data do Caixa Realizado]]="",0,YEAR([1]!TbRegistroSaídas[[#This Row],[Data do Caixa Realizado]]))</f>
        <v>2018</v>
      </c>
      <c r="K71">
        <f>IF([1]!TbRegistroSaídas[[#This Row],[Data da Competência]]="",0,MONTH([1]!TbRegistroSaídas[[#This Row],[Data da Competência]]))</f>
        <v>2</v>
      </c>
      <c r="L71">
        <f>IF([1]!TbRegistroSaídas[[#This Row],[Data da Competência]]="",0,YEAR([1]!TbRegistroSaídas[[#This Row],[Data da Competência]]))</f>
        <v>2018</v>
      </c>
      <c r="M71">
        <f>IF([1]!TbRegistroSaídas[[#This Row],[Data do Caixa Previsto]]="",0,MONTH([1]!TbRegistroSaídas[[#This Row],[Data do Caixa Previsto]]))</f>
        <v>2</v>
      </c>
      <c r="N71">
        <f>IF([1]!TbRegistroSaídas[[#This Row],[Data do Caixa Previsto]]="",0,YEAR([1]!TbRegistroSaídas[[#This Row],[Data do Caixa Previsto]]))</f>
        <v>2018</v>
      </c>
      <c r="O7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72" spans="2:15" x14ac:dyDescent="0.25">
      <c r="B72" s="11">
        <v>43137</v>
      </c>
      <c r="C72" s="11">
        <v>43137</v>
      </c>
      <c r="D72" s="11">
        <v>43137</v>
      </c>
      <c r="E72" t="s">
        <v>36</v>
      </c>
      <c r="F72" t="s">
        <v>43</v>
      </c>
      <c r="G72" t="s">
        <v>353</v>
      </c>
      <c r="H72" s="114">
        <v>3606</v>
      </c>
      <c r="I72">
        <f>IF([1]!TbRegistroSaídas[[#This Row],[Data do Caixa Realizado]]="",0,MONTH([1]!TbRegistroSaídas[[#This Row],[Data do Caixa Realizado]]))</f>
        <v>2</v>
      </c>
      <c r="J72">
        <f>IF([1]!TbRegistroSaídas[[#This Row],[Data do Caixa Realizado]]="",0,YEAR([1]!TbRegistroSaídas[[#This Row],[Data do Caixa Realizado]]))</f>
        <v>2018</v>
      </c>
      <c r="K72">
        <f>IF([1]!TbRegistroSaídas[[#This Row],[Data da Competência]]="",0,MONTH([1]!TbRegistroSaídas[[#This Row],[Data da Competência]]))</f>
        <v>2</v>
      </c>
      <c r="L72">
        <f>IF([1]!TbRegistroSaídas[[#This Row],[Data da Competência]]="",0,YEAR([1]!TbRegistroSaídas[[#This Row],[Data da Competência]]))</f>
        <v>2018</v>
      </c>
      <c r="M72">
        <f>IF([1]!TbRegistroSaídas[[#This Row],[Data do Caixa Previsto]]="",0,MONTH([1]!TbRegistroSaídas[[#This Row],[Data do Caixa Previsto]]))</f>
        <v>2</v>
      </c>
      <c r="N72">
        <f>IF([1]!TbRegistroSaídas[[#This Row],[Data do Caixa Previsto]]="",0,YEAR([1]!TbRegistroSaídas[[#This Row],[Data do Caixa Previsto]]))</f>
        <v>2018</v>
      </c>
      <c r="O7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73" spans="2:15" x14ac:dyDescent="0.25">
      <c r="B73" s="11">
        <v>43177.329774401594</v>
      </c>
      <c r="C73" s="11">
        <v>43138</v>
      </c>
      <c r="D73" s="11">
        <v>43177.329774401594</v>
      </c>
      <c r="E73" t="s">
        <v>36</v>
      </c>
      <c r="F73" t="s">
        <v>32</v>
      </c>
      <c r="G73" t="s">
        <v>354</v>
      </c>
      <c r="H73" s="114">
        <v>4867</v>
      </c>
      <c r="I73">
        <f>IF([1]!TbRegistroSaídas[[#This Row],[Data do Caixa Realizado]]="",0,MONTH([1]!TbRegistroSaídas[[#This Row],[Data do Caixa Realizado]]))</f>
        <v>3</v>
      </c>
      <c r="J73">
        <f>IF([1]!TbRegistroSaídas[[#This Row],[Data do Caixa Realizado]]="",0,YEAR([1]!TbRegistroSaídas[[#This Row],[Data do Caixa Realizado]]))</f>
        <v>2018</v>
      </c>
      <c r="K73">
        <f>IF([1]!TbRegistroSaídas[[#This Row],[Data da Competência]]="",0,MONTH([1]!TbRegistroSaídas[[#This Row],[Data da Competência]]))</f>
        <v>2</v>
      </c>
      <c r="L73">
        <f>IF([1]!TbRegistroSaídas[[#This Row],[Data da Competência]]="",0,YEAR([1]!TbRegistroSaídas[[#This Row],[Data da Competência]]))</f>
        <v>2018</v>
      </c>
      <c r="M73">
        <f>IF([1]!TbRegistroSaídas[[#This Row],[Data do Caixa Previsto]]="",0,MONTH([1]!TbRegistroSaídas[[#This Row],[Data do Caixa Previsto]]))</f>
        <v>3</v>
      </c>
      <c r="N73">
        <f>IF([1]!TbRegistroSaídas[[#This Row],[Data do Caixa Previsto]]="",0,YEAR([1]!TbRegistroSaídas[[#This Row],[Data do Caixa Previsto]]))</f>
        <v>2018</v>
      </c>
      <c r="O7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74" spans="2:15" x14ac:dyDescent="0.25">
      <c r="B74" s="11">
        <v>43175.004800342591</v>
      </c>
      <c r="C74" s="11">
        <v>43140</v>
      </c>
      <c r="D74" s="11">
        <v>43175.004800342591</v>
      </c>
      <c r="E74" t="s">
        <v>36</v>
      </c>
      <c r="F74" t="s">
        <v>33</v>
      </c>
      <c r="G74" t="s">
        <v>355</v>
      </c>
      <c r="H74" s="114">
        <v>702</v>
      </c>
      <c r="I74">
        <f>IF([1]!TbRegistroSaídas[[#This Row],[Data do Caixa Realizado]]="",0,MONTH([1]!TbRegistroSaídas[[#This Row],[Data do Caixa Realizado]]))</f>
        <v>3</v>
      </c>
      <c r="J74">
        <f>IF([1]!TbRegistroSaídas[[#This Row],[Data do Caixa Realizado]]="",0,YEAR([1]!TbRegistroSaídas[[#This Row],[Data do Caixa Realizado]]))</f>
        <v>2018</v>
      </c>
      <c r="K74">
        <f>IF([1]!TbRegistroSaídas[[#This Row],[Data da Competência]]="",0,MONTH([1]!TbRegistroSaídas[[#This Row],[Data da Competência]]))</f>
        <v>2</v>
      </c>
      <c r="L74">
        <f>IF([1]!TbRegistroSaídas[[#This Row],[Data da Competência]]="",0,YEAR([1]!TbRegistroSaídas[[#This Row],[Data da Competência]]))</f>
        <v>2018</v>
      </c>
      <c r="M74">
        <f>IF([1]!TbRegistroSaídas[[#This Row],[Data do Caixa Previsto]]="",0,MONTH([1]!TbRegistroSaídas[[#This Row],[Data do Caixa Previsto]]))</f>
        <v>3</v>
      </c>
      <c r="N74">
        <f>IF([1]!TbRegistroSaídas[[#This Row],[Data do Caixa Previsto]]="",0,YEAR([1]!TbRegistroSaídas[[#This Row],[Data do Caixa Previsto]]))</f>
        <v>2018</v>
      </c>
      <c r="O7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75" spans="2:15" x14ac:dyDescent="0.25">
      <c r="B75" s="11">
        <v>43150.456480487795</v>
      </c>
      <c r="C75" s="11">
        <v>43145</v>
      </c>
      <c r="D75" s="11">
        <v>43150.456480487795</v>
      </c>
      <c r="E75" t="s">
        <v>36</v>
      </c>
      <c r="F75" t="s">
        <v>33</v>
      </c>
      <c r="G75" t="s">
        <v>356</v>
      </c>
      <c r="H75" s="114">
        <v>2801</v>
      </c>
      <c r="I75">
        <f>IF([1]!TbRegistroSaídas[[#This Row],[Data do Caixa Realizado]]="",0,MONTH([1]!TbRegistroSaídas[[#This Row],[Data do Caixa Realizado]]))</f>
        <v>2</v>
      </c>
      <c r="J75">
        <f>IF([1]!TbRegistroSaídas[[#This Row],[Data do Caixa Realizado]]="",0,YEAR([1]!TbRegistroSaídas[[#This Row],[Data do Caixa Realizado]]))</f>
        <v>2018</v>
      </c>
      <c r="K75">
        <f>IF([1]!TbRegistroSaídas[[#This Row],[Data da Competência]]="",0,MONTH([1]!TbRegistroSaídas[[#This Row],[Data da Competência]]))</f>
        <v>2</v>
      </c>
      <c r="L75">
        <f>IF([1]!TbRegistroSaídas[[#This Row],[Data da Competência]]="",0,YEAR([1]!TbRegistroSaídas[[#This Row],[Data da Competência]]))</f>
        <v>2018</v>
      </c>
      <c r="M75">
        <f>IF([1]!TbRegistroSaídas[[#This Row],[Data do Caixa Previsto]]="",0,MONTH([1]!TbRegistroSaídas[[#This Row],[Data do Caixa Previsto]]))</f>
        <v>2</v>
      </c>
      <c r="N75">
        <f>IF([1]!TbRegistroSaídas[[#This Row],[Data do Caixa Previsto]]="",0,YEAR([1]!TbRegistroSaídas[[#This Row],[Data do Caixa Previsto]]))</f>
        <v>2018</v>
      </c>
      <c r="O7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76" spans="2:15" x14ac:dyDescent="0.25">
      <c r="B76" s="11">
        <v>43219.967883487829</v>
      </c>
      <c r="C76" s="11">
        <v>43146</v>
      </c>
      <c r="D76" s="11">
        <v>43169.778347522966</v>
      </c>
      <c r="E76" t="s">
        <v>36</v>
      </c>
      <c r="F76" t="s">
        <v>43</v>
      </c>
      <c r="G76" t="s">
        <v>357</v>
      </c>
      <c r="H76" s="114">
        <v>4438</v>
      </c>
      <c r="I76">
        <f>IF([1]!TbRegistroSaídas[[#This Row],[Data do Caixa Realizado]]="",0,MONTH([1]!TbRegistroSaídas[[#This Row],[Data do Caixa Realizado]]))</f>
        <v>4</v>
      </c>
      <c r="J76">
        <f>IF([1]!TbRegistroSaídas[[#This Row],[Data do Caixa Realizado]]="",0,YEAR([1]!TbRegistroSaídas[[#This Row],[Data do Caixa Realizado]]))</f>
        <v>2018</v>
      </c>
      <c r="K76">
        <f>IF([1]!TbRegistroSaídas[[#This Row],[Data da Competência]]="",0,MONTH([1]!TbRegistroSaídas[[#This Row],[Data da Competência]]))</f>
        <v>2</v>
      </c>
      <c r="L76">
        <f>IF([1]!TbRegistroSaídas[[#This Row],[Data da Competência]]="",0,YEAR([1]!TbRegistroSaídas[[#This Row],[Data da Competência]]))</f>
        <v>2018</v>
      </c>
      <c r="M76">
        <f>IF([1]!TbRegistroSaídas[[#This Row],[Data do Caixa Previsto]]="",0,MONTH([1]!TbRegistroSaídas[[#This Row],[Data do Caixa Previsto]]))</f>
        <v>3</v>
      </c>
      <c r="N76">
        <f>IF([1]!TbRegistroSaídas[[#This Row],[Data do Caixa Previsto]]="",0,YEAR([1]!TbRegistroSaídas[[#This Row],[Data do Caixa Previsto]]))</f>
        <v>2018</v>
      </c>
      <c r="O7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50.189535964862444</v>
      </c>
    </row>
    <row r="77" spans="2:15" x14ac:dyDescent="0.25">
      <c r="B77" s="11">
        <v>43198.215136039675</v>
      </c>
      <c r="C77" s="11">
        <v>43151</v>
      </c>
      <c r="D77" s="11">
        <v>43198.215136039675</v>
      </c>
      <c r="E77" t="s">
        <v>36</v>
      </c>
      <c r="F77" t="s">
        <v>32</v>
      </c>
      <c r="G77" t="s">
        <v>358</v>
      </c>
      <c r="H77" s="114">
        <v>3835</v>
      </c>
      <c r="I77">
        <f>IF([1]!TbRegistroSaídas[[#This Row],[Data do Caixa Realizado]]="",0,MONTH([1]!TbRegistroSaídas[[#This Row],[Data do Caixa Realizado]]))</f>
        <v>4</v>
      </c>
      <c r="J77">
        <f>IF([1]!TbRegistroSaídas[[#This Row],[Data do Caixa Realizado]]="",0,YEAR([1]!TbRegistroSaídas[[#This Row],[Data do Caixa Realizado]]))</f>
        <v>2018</v>
      </c>
      <c r="K77">
        <f>IF([1]!TbRegistroSaídas[[#This Row],[Data da Competência]]="",0,MONTH([1]!TbRegistroSaídas[[#This Row],[Data da Competência]]))</f>
        <v>2</v>
      </c>
      <c r="L77">
        <f>IF([1]!TbRegistroSaídas[[#This Row],[Data da Competência]]="",0,YEAR([1]!TbRegistroSaídas[[#This Row],[Data da Competência]]))</f>
        <v>2018</v>
      </c>
      <c r="M77">
        <f>IF([1]!TbRegistroSaídas[[#This Row],[Data do Caixa Previsto]]="",0,MONTH([1]!TbRegistroSaídas[[#This Row],[Data do Caixa Previsto]]))</f>
        <v>4</v>
      </c>
      <c r="N77">
        <f>IF([1]!TbRegistroSaídas[[#This Row],[Data do Caixa Previsto]]="",0,YEAR([1]!TbRegistroSaídas[[#This Row],[Data do Caixa Previsto]]))</f>
        <v>2018</v>
      </c>
      <c r="O7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78" spans="2:15" x14ac:dyDescent="0.25">
      <c r="B78" s="11">
        <v>43160</v>
      </c>
      <c r="C78" s="11">
        <v>43160</v>
      </c>
      <c r="D78" s="11">
        <v>43160</v>
      </c>
      <c r="E78" t="s">
        <v>36</v>
      </c>
      <c r="F78" t="s">
        <v>43</v>
      </c>
      <c r="G78" t="s">
        <v>359</v>
      </c>
      <c r="H78" s="114">
        <v>3893</v>
      </c>
      <c r="I78">
        <f>IF([1]!TbRegistroSaídas[[#This Row],[Data do Caixa Realizado]]="",0,MONTH([1]!TbRegistroSaídas[[#This Row],[Data do Caixa Realizado]]))</f>
        <v>3</v>
      </c>
      <c r="J78">
        <f>IF([1]!TbRegistroSaídas[[#This Row],[Data do Caixa Realizado]]="",0,YEAR([1]!TbRegistroSaídas[[#This Row],[Data do Caixa Realizado]]))</f>
        <v>2018</v>
      </c>
      <c r="K78">
        <f>IF([1]!TbRegistroSaídas[[#This Row],[Data da Competência]]="",0,MONTH([1]!TbRegistroSaídas[[#This Row],[Data da Competência]]))</f>
        <v>3</v>
      </c>
      <c r="L78">
        <f>IF([1]!TbRegistroSaídas[[#This Row],[Data da Competência]]="",0,YEAR([1]!TbRegistroSaídas[[#This Row],[Data da Competência]]))</f>
        <v>2018</v>
      </c>
      <c r="M78">
        <f>IF([1]!TbRegistroSaídas[[#This Row],[Data do Caixa Previsto]]="",0,MONTH([1]!TbRegistroSaídas[[#This Row],[Data do Caixa Previsto]]))</f>
        <v>3</v>
      </c>
      <c r="N78">
        <f>IF([1]!TbRegistroSaídas[[#This Row],[Data do Caixa Previsto]]="",0,YEAR([1]!TbRegistroSaídas[[#This Row],[Data do Caixa Previsto]]))</f>
        <v>2018</v>
      </c>
      <c r="O7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79" spans="2:15" x14ac:dyDescent="0.25">
      <c r="B79" s="11">
        <v>43163</v>
      </c>
      <c r="C79" s="11">
        <v>43163</v>
      </c>
      <c r="D79" s="11">
        <v>43163</v>
      </c>
      <c r="E79" t="s">
        <v>36</v>
      </c>
      <c r="F79" t="s">
        <v>43</v>
      </c>
      <c r="G79" t="s">
        <v>223</v>
      </c>
      <c r="H79" s="114">
        <v>1970</v>
      </c>
      <c r="I79">
        <f>IF([1]!TbRegistroSaídas[[#This Row],[Data do Caixa Realizado]]="",0,MONTH([1]!TbRegistroSaídas[[#This Row],[Data do Caixa Realizado]]))</f>
        <v>3</v>
      </c>
      <c r="J79">
        <f>IF([1]!TbRegistroSaídas[[#This Row],[Data do Caixa Realizado]]="",0,YEAR([1]!TbRegistroSaídas[[#This Row],[Data do Caixa Realizado]]))</f>
        <v>2018</v>
      </c>
      <c r="K79">
        <f>IF([1]!TbRegistroSaídas[[#This Row],[Data da Competência]]="",0,MONTH([1]!TbRegistroSaídas[[#This Row],[Data da Competência]]))</f>
        <v>3</v>
      </c>
      <c r="L79">
        <f>IF([1]!TbRegistroSaídas[[#This Row],[Data da Competência]]="",0,YEAR([1]!TbRegistroSaídas[[#This Row],[Data da Competência]]))</f>
        <v>2018</v>
      </c>
      <c r="M79">
        <f>IF([1]!TbRegistroSaídas[[#This Row],[Data do Caixa Previsto]]="",0,MONTH([1]!TbRegistroSaídas[[#This Row],[Data do Caixa Previsto]]))</f>
        <v>3</v>
      </c>
      <c r="N79">
        <f>IF([1]!TbRegistroSaídas[[#This Row],[Data do Caixa Previsto]]="",0,YEAR([1]!TbRegistroSaídas[[#This Row],[Data do Caixa Previsto]]))</f>
        <v>2018</v>
      </c>
      <c r="O7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80" spans="2:15" x14ac:dyDescent="0.25">
      <c r="B80" s="11">
        <v>43219.347145801272</v>
      </c>
      <c r="C80" s="11">
        <v>43164</v>
      </c>
      <c r="D80" s="11">
        <v>43219.347145801272</v>
      </c>
      <c r="E80" t="s">
        <v>36</v>
      </c>
      <c r="F80" t="s">
        <v>33</v>
      </c>
      <c r="G80" t="s">
        <v>360</v>
      </c>
      <c r="H80" s="114">
        <v>729</v>
      </c>
      <c r="I80">
        <f>IF([1]!TbRegistroSaídas[[#This Row],[Data do Caixa Realizado]]="",0,MONTH([1]!TbRegistroSaídas[[#This Row],[Data do Caixa Realizado]]))</f>
        <v>4</v>
      </c>
      <c r="J80">
        <f>IF([1]!TbRegistroSaídas[[#This Row],[Data do Caixa Realizado]]="",0,YEAR([1]!TbRegistroSaídas[[#This Row],[Data do Caixa Realizado]]))</f>
        <v>2018</v>
      </c>
      <c r="K80">
        <f>IF([1]!TbRegistroSaídas[[#This Row],[Data da Competência]]="",0,MONTH([1]!TbRegistroSaídas[[#This Row],[Data da Competência]]))</f>
        <v>3</v>
      </c>
      <c r="L80">
        <f>IF([1]!TbRegistroSaídas[[#This Row],[Data da Competência]]="",0,YEAR([1]!TbRegistroSaídas[[#This Row],[Data da Competência]]))</f>
        <v>2018</v>
      </c>
      <c r="M80">
        <f>IF([1]!TbRegistroSaídas[[#This Row],[Data do Caixa Previsto]]="",0,MONTH([1]!TbRegistroSaídas[[#This Row],[Data do Caixa Previsto]]))</f>
        <v>4</v>
      </c>
      <c r="N80">
        <f>IF([1]!TbRegistroSaídas[[#This Row],[Data do Caixa Previsto]]="",0,YEAR([1]!TbRegistroSaídas[[#This Row],[Data do Caixa Previsto]]))</f>
        <v>2018</v>
      </c>
      <c r="O8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81" spans="2:15" x14ac:dyDescent="0.25">
      <c r="B81" s="11">
        <v>43188.959993905235</v>
      </c>
      <c r="C81" s="11">
        <v>43166</v>
      </c>
      <c r="D81" s="11">
        <v>43188.959993905235</v>
      </c>
      <c r="E81" t="s">
        <v>36</v>
      </c>
      <c r="F81" t="s">
        <v>32</v>
      </c>
      <c r="G81" t="s">
        <v>361</v>
      </c>
      <c r="H81" s="114">
        <v>474</v>
      </c>
      <c r="I81">
        <f>IF([1]!TbRegistroSaídas[[#This Row],[Data do Caixa Realizado]]="",0,MONTH([1]!TbRegistroSaídas[[#This Row],[Data do Caixa Realizado]]))</f>
        <v>3</v>
      </c>
      <c r="J81">
        <f>IF([1]!TbRegistroSaídas[[#This Row],[Data do Caixa Realizado]]="",0,YEAR([1]!TbRegistroSaídas[[#This Row],[Data do Caixa Realizado]]))</f>
        <v>2018</v>
      </c>
      <c r="K81">
        <f>IF([1]!TbRegistroSaídas[[#This Row],[Data da Competência]]="",0,MONTH([1]!TbRegistroSaídas[[#This Row],[Data da Competência]]))</f>
        <v>3</v>
      </c>
      <c r="L81">
        <f>IF([1]!TbRegistroSaídas[[#This Row],[Data da Competência]]="",0,YEAR([1]!TbRegistroSaídas[[#This Row],[Data da Competência]]))</f>
        <v>2018</v>
      </c>
      <c r="M81">
        <f>IF([1]!TbRegistroSaídas[[#This Row],[Data do Caixa Previsto]]="",0,MONTH([1]!TbRegistroSaídas[[#This Row],[Data do Caixa Previsto]]))</f>
        <v>3</v>
      </c>
      <c r="N81">
        <f>IF([1]!TbRegistroSaídas[[#This Row],[Data do Caixa Previsto]]="",0,YEAR([1]!TbRegistroSaídas[[#This Row],[Data do Caixa Previsto]]))</f>
        <v>2018</v>
      </c>
      <c r="O8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82" spans="2:15" x14ac:dyDescent="0.25">
      <c r="B82" s="11">
        <v>43168</v>
      </c>
      <c r="C82" s="11">
        <v>43168</v>
      </c>
      <c r="D82" s="11">
        <v>43168</v>
      </c>
      <c r="E82" t="s">
        <v>36</v>
      </c>
      <c r="F82" t="s">
        <v>33</v>
      </c>
      <c r="G82" t="s">
        <v>362</v>
      </c>
      <c r="H82" s="114">
        <v>3164</v>
      </c>
      <c r="I82">
        <f>IF([1]!TbRegistroSaídas[[#This Row],[Data do Caixa Realizado]]="",0,MONTH([1]!TbRegistroSaídas[[#This Row],[Data do Caixa Realizado]]))</f>
        <v>3</v>
      </c>
      <c r="J82">
        <f>IF([1]!TbRegistroSaídas[[#This Row],[Data do Caixa Realizado]]="",0,YEAR([1]!TbRegistroSaídas[[#This Row],[Data do Caixa Realizado]]))</f>
        <v>2018</v>
      </c>
      <c r="K82">
        <f>IF([1]!TbRegistroSaídas[[#This Row],[Data da Competência]]="",0,MONTH([1]!TbRegistroSaídas[[#This Row],[Data da Competência]]))</f>
        <v>3</v>
      </c>
      <c r="L82">
        <f>IF([1]!TbRegistroSaídas[[#This Row],[Data da Competência]]="",0,YEAR([1]!TbRegistroSaídas[[#This Row],[Data da Competência]]))</f>
        <v>2018</v>
      </c>
      <c r="M82">
        <f>IF([1]!TbRegistroSaídas[[#This Row],[Data do Caixa Previsto]]="",0,MONTH([1]!TbRegistroSaídas[[#This Row],[Data do Caixa Previsto]]))</f>
        <v>3</v>
      </c>
      <c r="N82">
        <f>IF([1]!TbRegistroSaídas[[#This Row],[Data do Caixa Previsto]]="",0,YEAR([1]!TbRegistroSaídas[[#This Row],[Data do Caixa Previsto]]))</f>
        <v>2018</v>
      </c>
      <c r="O8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83" spans="2:15" x14ac:dyDescent="0.25">
      <c r="B83" s="11">
        <v>43173</v>
      </c>
      <c r="C83" s="11">
        <v>43173</v>
      </c>
      <c r="D83" s="11">
        <v>43173</v>
      </c>
      <c r="E83" t="s">
        <v>36</v>
      </c>
      <c r="F83" t="s">
        <v>43</v>
      </c>
      <c r="G83" t="s">
        <v>363</v>
      </c>
      <c r="H83" s="114">
        <v>3113</v>
      </c>
      <c r="I83">
        <f>IF([1]!TbRegistroSaídas[[#This Row],[Data do Caixa Realizado]]="",0,MONTH([1]!TbRegistroSaídas[[#This Row],[Data do Caixa Realizado]]))</f>
        <v>3</v>
      </c>
      <c r="J83">
        <f>IF([1]!TbRegistroSaídas[[#This Row],[Data do Caixa Realizado]]="",0,YEAR([1]!TbRegistroSaídas[[#This Row],[Data do Caixa Realizado]]))</f>
        <v>2018</v>
      </c>
      <c r="K83">
        <f>IF([1]!TbRegistroSaídas[[#This Row],[Data da Competência]]="",0,MONTH([1]!TbRegistroSaídas[[#This Row],[Data da Competência]]))</f>
        <v>3</v>
      </c>
      <c r="L83">
        <f>IF([1]!TbRegistroSaídas[[#This Row],[Data da Competência]]="",0,YEAR([1]!TbRegistroSaídas[[#This Row],[Data da Competência]]))</f>
        <v>2018</v>
      </c>
      <c r="M83">
        <f>IF([1]!TbRegistroSaídas[[#This Row],[Data do Caixa Previsto]]="",0,MONTH([1]!TbRegistroSaídas[[#This Row],[Data do Caixa Previsto]]))</f>
        <v>3</v>
      </c>
      <c r="N83">
        <f>IF([1]!TbRegistroSaídas[[#This Row],[Data do Caixa Previsto]]="",0,YEAR([1]!TbRegistroSaídas[[#This Row],[Data do Caixa Previsto]]))</f>
        <v>2018</v>
      </c>
      <c r="O8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84" spans="2:15" x14ac:dyDescent="0.25">
      <c r="B84" s="11">
        <v>43201.571307437043</v>
      </c>
      <c r="C84" s="11">
        <v>43176</v>
      </c>
      <c r="D84" s="11">
        <v>43201.571307437043</v>
      </c>
      <c r="E84" t="s">
        <v>36</v>
      </c>
      <c r="F84" t="s">
        <v>31</v>
      </c>
      <c r="G84" t="s">
        <v>364</v>
      </c>
      <c r="H84" s="114">
        <v>789</v>
      </c>
      <c r="I84">
        <f>IF([1]!TbRegistroSaídas[[#This Row],[Data do Caixa Realizado]]="",0,MONTH([1]!TbRegistroSaídas[[#This Row],[Data do Caixa Realizado]]))</f>
        <v>4</v>
      </c>
      <c r="J84">
        <f>IF([1]!TbRegistroSaídas[[#This Row],[Data do Caixa Realizado]]="",0,YEAR([1]!TbRegistroSaídas[[#This Row],[Data do Caixa Realizado]]))</f>
        <v>2018</v>
      </c>
      <c r="K84">
        <f>IF([1]!TbRegistroSaídas[[#This Row],[Data da Competência]]="",0,MONTH([1]!TbRegistroSaídas[[#This Row],[Data da Competência]]))</f>
        <v>3</v>
      </c>
      <c r="L84">
        <f>IF([1]!TbRegistroSaídas[[#This Row],[Data da Competência]]="",0,YEAR([1]!TbRegistroSaídas[[#This Row],[Data da Competência]]))</f>
        <v>2018</v>
      </c>
      <c r="M84">
        <f>IF([1]!TbRegistroSaídas[[#This Row],[Data do Caixa Previsto]]="",0,MONTH([1]!TbRegistroSaídas[[#This Row],[Data do Caixa Previsto]]))</f>
        <v>4</v>
      </c>
      <c r="N84">
        <f>IF([1]!TbRegistroSaídas[[#This Row],[Data do Caixa Previsto]]="",0,YEAR([1]!TbRegistroSaídas[[#This Row],[Data do Caixa Previsto]]))</f>
        <v>2018</v>
      </c>
      <c r="O8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85" spans="2:15" x14ac:dyDescent="0.25">
      <c r="B85" s="11">
        <v>43272.38518954863</v>
      </c>
      <c r="C85" s="11">
        <v>43180</v>
      </c>
      <c r="D85" s="11">
        <v>43191.559855343337</v>
      </c>
      <c r="E85" t="s">
        <v>36</v>
      </c>
      <c r="F85" t="s">
        <v>31</v>
      </c>
      <c r="G85" t="s">
        <v>365</v>
      </c>
      <c r="H85" s="114">
        <v>3521</v>
      </c>
      <c r="I85">
        <f>IF([1]!TbRegistroSaídas[[#This Row],[Data do Caixa Realizado]]="",0,MONTH([1]!TbRegistroSaídas[[#This Row],[Data do Caixa Realizado]]))</f>
        <v>6</v>
      </c>
      <c r="J85">
        <f>IF([1]!TbRegistroSaídas[[#This Row],[Data do Caixa Realizado]]="",0,YEAR([1]!TbRegistroSaídas[[#This Row],[Data do Caixa Realizado]]))</f>
        <v>2018</v>
      </c>
      <c r="K85">
        <f>IF([1]!TbRegistroSaídas[[#This Row],[Data da Competência]]="",0,MONTH([1]!TbRegistroSaídas[[#This Row],[Data da Competência]]))</f>
        <v>3</v>
      </c>
      <c r="L85">
        <f>IF([1]!TbRegistroSaídas[[#This Row],[Data da Competência]]="",0,YEAR([1]!TbRegistroSaídas[[#This Row],[Data da Competência]]))</f>
        <v>2018</v>
      </c>
      <c r="M85">
        <f>IF([1]!TbRegistroSaídas[[#This Row],[Data do Caixa Previsto]]="",0,MONTH([1]!TbRegistroSaídas[[#This Row],[Data do Caixa Previsto]]))</f>
        <v>4</v>
      </c>
      <c r="N85">
        <f>IF([1]!TbRegistroSaídas[[#This Row],[Data do Caixa Previsto]]="",0,YEAR([1]!TbRegistroSaídas[[#This Row],[Data do Caixa Previsto]]))</f>
        <v>2018</v>
      </c>
      <c r="O8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80.825334205292165</v>
      </c>
    </row>
    <row r="86" spans="2:15" x14ac:dyDescent="0.25">
      <c r="B86" s="11">
        <v>43187.734676954671</v>
      </c>
      <c r="C86" s="11">
        <v>43183</v>
      </c>
      <c r="D86" s="11">
        <v>43187.734676954671</v>
      </c>
      <c r="E86" t="s">
        <v>36</v>
      </c>
      <c r="F86" t="s">
        <v>43</v>
      </c>
      <c r="G86" t="s">
        <v>366</v>
      </c>
      <c r="H86" s="114">
        <v>4947</v>
      </c>
      <c r="I86">
        <f>IF([1]!TbRegistroSaídas[[#This Row],[Data do Caixa Realizado]]="",0,MONTH([1]!TbRegistroSaídas[[#This Row],[Data do Caixa Realizado]]))</f>
        <v>3</v>
      </c>
      <c r="J86">
        <f>IF([1]!TbRegistroSaídas[[#This Row],[Data do Caixa Realizado]]="",0,YEAR([1]!TbRegistroSaídas[[#This Row],[Data do Caixa Realizado]]))</f>
        <v>2018</v>
      </c>
      <c r="K86">
        <f>IF([1]!TbRegistroSaídas[[#This Row],[Data da Competência]]="",0,MONTH([1]!TbRegistroSaídas[[#This Row],[Data da Competência]]))</f>
        <v>3</v>
      </c>
      <c r="L86">
        <f>IF([1]!TbRegistroSaídas[[#This Row],[Data da Competência]]="",0,YEAR([1]!TbRegistroSaídas[[#This Row],[Data da Competência]]))</f>
        <v>2018</v>
      </c>
      <c r="M86">
        <f>IF([1]!TbRegistroSaídas[[#This Row],[Data do Caixa Previsto]]="",0,MONTH([1]!TbRegistroSaídas[[#This Row],[Data do Caixa Previsto]]))</f>
        <v>3</v>
      </c>
      <c r="N86">
        <f>IF([1]!TbRegistroSaídas[[#This Row],[Data do Caixa Previsto]]="",0,YEAR([1]!TbRegistroSaídas[[#This Row],[Data do Caixa Previsto]]))</f>
        <v>2018</v>
      </c>
      <c r="O8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87" spans="2:15" x14ac:dyDescent="0.25">
      <c r="B87" s="11">
        <v>43184</v>
      </c>
      <c r="C87" s="11">
        <v>43184</v>
      </c>
      <c r="D87" s="11">
        <v>43184</v>
      </c>
      <c r="E87" t="s">
        <v>36</v>
      </c>
      <c r="F87" t="s">
        <v>31</v>
      </c>
      <c r="G87" t="s">
        <v>367</v>
      </c>
      <c r="H87" s="114">
        <v>1527</v>
      </c>
      <c r="I87">
        <f>IF([1]!TbRegistroSaídas[[#This Row],[Data do Caixa Realizado]]="",0,MONTH([1]!TbRegistroSaídas[[#This Row],[Data do Caixa Realizado]]))</f>
        <v>3</v>
      </c>
      <c r="J87">
        <f>IF([1]!TbRegistroSaídas[[#This Row],[Data do Caixa Realizado]]="",0,YEAR([1]!TbRegistroSaídas[[#This Row],[Data do Caixa Realizado]]))</f>
        <v>2018</v>
      </c>
      <c r="K87">
        <f>IF([1]!TbRegistroSaídas[[#This Row],[Data da Competência]]="",0,MONTH([1]!TbRegistroSaídas[[#This Row],[Data da Competência]]))</f>
        <v>3</v>
      </c>
      <c r="L87">
        <f>IF([1]!TbRegistroSaídas[[#This Row],[Data da Competência]]="",0,YEAR([1]!TbRegistroSaídas[[#This Row],[Data da Competência]]))</f>
        <v>2018</v>
      </c>
      <c r="M87">
        <f>IF([1]!TbRegistroSaídas[[#This Row],[Data do Caixa Previsto]]="",0,MONTH([1]!TbRegistroSaídas[[#This Row],[Data do Caixa Previsto]]))</f>
        <v>3</v>
      </c>
      <c r="N87">
        <f>IF([1]!TbRegistroSaídas[[#This Row],[Data do Caixa Previsto]]="",0,YEAR([1]!TbRegistroSaídas[[#This Row],[Data do Caixa Previsto]]))</f>
        <v>2018</v>
      </c>
      <c r="O8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88" spans="2:15" x14ac:dyDescent="0.25">
      <c r="B88" s="11">
        <v>43234.522556233635</v>
      </c>
      <c r="C88" s="11">
        <v>43191</v>
      </c>
      <c r="D88" s="11">
        <v>43234.522556233635</v>
      </c>
      <c r="E88" t="s">
        <v>36</v>
      </c>
      <c r="F88" t="s">
        <v>31</v>
      </c>
      <c r="G88" t="s">
        <v>368</v>
      </c>
      <c r="H88" s="114">
        <v>764</v>
      </c>
      <c r="I88">
        <f>IF([1]!TbRegistroSaídas[[#This Row],[Data do Caixa Realizado]]="",0,MONTH([1]!TbRegistroSaídas[[#This Row],[Data do Caixa Realizado]]))</f>
        <v>5</v>
      </c>
      <c r="J88">
        <f>IF([1]!TbRegistroSaídas[[#This Row],[Data do Caixa Realizado]]="",0,YEAR([1]!TbRegistroSaídas[[#This Row],[Data do Caixa Realizado]]))</f>
        <v>2018</v>
      </c>
      <c r="K88">
        <f>IF([1]!TbRegistroSaídas[[#This Row],[Data da Competência]]="",0,MONTH([1]!TbRegistroSaídas[[#This Row],[Data da Competência]]))</f>
        <v>4</v>
      </c>
      <c r="L88">
        <f>IF([1]!TbRegistroSaídas[[#This Row],[Data da Competência]]="",0,YEAR([1]!TbRegistroSaídas[[#This Row],[Data da Competência]]))</f>
        <v>2018</v>
      </c>
      <c r="M88">
        <f>IF([1]!TbRegistroSaídas[[#This Row],[Data do Caixa Previsto]]="",0,MONTH([1]!TbRegistroSaídas[[#This Row],[Data do Caixa Previsto]]))</f>
        <v>5</v>
      </c>
      <c r="N88">
        <f>IF([1]!TbRegistroSaídas[[#This Row],[Data do Caixa Previsto]]="",0,YEAR([1]!TbRegistroSaídas[[#This Row],[Data do Caixa Previsto]]))</f>
        <v>2018</v>
      </c>
      <c r="O8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89" spans="2:15" x14ac:dyDescent="0.25">
      <c r="B89" s="11">
        <v>43202.116934975762</v>
      </c>
      <c r="C89" s="11">
        <v>43193</v>
      </c>
      <c r="D89" s="11">
        <v>43202.116934975762</v>
      </c>
      <c r="E89" t="s">
        <v>36</v>
      </c>
      <c r="F89" t="s">
        <v>32</v>
      </c>
      <c r="G89" t="s">
        <v>369</v>
      </c>
      <c r="H89" s="114">
        <v>2463</v>
      </c>
      <c r="I89">
        <f>IF([1]!TbRegistroSaídas[[#This Row],[Data do Caixa Realizado]]="",0,MONTH([1]!TbRegistroSaídas[[#This Row],[Data do Caixa Realizado]]))</f>
        <v>4</v>
      </c>
      <c r="J89">
        <f>IF([1]!TbRegistroSaídas[[#This Row],[Data do Caixa Realizado]]="",0,YEAR([1]!TbRegistroSaídas[[#This Row],[Data do Caixa Realizado]]))</f>
        <v>2018</v>
      </c>
      <c r="K89">
        <f>IF([1]!TbRegistroSaídas[[#This Row],[Data da Competência]]="",0,MONTH([1]!TbRegistroSaídas[[#This Row],[Data da Competência]]))</f>
        <v>4</v>
      </c>
      <c r="L89">
        <f>IF([1]!TbRegistroSaídas[[#This Row],[Data da Competência]]="",0,YEAR([1]!TbRegistroSaídas[[#This Row],[Data da Competência]]))</f>
        <v>2018</v>
      </c>
      <c r="M89">
        <f>IF([1]!TbRegistroSaídas[[#This Row],[Data do Caixa Previsto]]="",0,MONTH([1]!TbRegistroSaídas[[#This Row],[Data do Caixa Previsto]]))</f>
        <v>4</v>
      </c>
      <c r="N89">
        <f>IF([1]!TbRegistroSaídas[[#This Row],[Data do Caixa Previsto]]="",0,YEAR([1]!TbRegistroSaídas[[#This Row],[Data do Caixa Previsto]]))</f>
        <v>2018</v>
      </c>
      <c r="O8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90" spans="2:15" x14ac:dyDescent="0.25">
      <c r="B90" s="11">
        <v>43195</v>
      </c>
      <c r="C90" s="11">
        <v>43195</v>
      </c>
      <c r="D90" s="11">
        <v>43195</v>
      </c>
      <c r="E90" t="s">
        <v>36</v>
      </c>
      <c r="F90" t="s">
        <v>33</v>
      </c>
      <c r="G90" t="s">
        <v>370</v>
      </c>
      <c r="H90" s="114">
        <v>2111</v>
      </c>
      <c r="I90">
        <f>IF([1]!TbRegistroSaídas[[#This Row],[Data do Caixa Realizado]]="",0,MONTH([1]!TbRegistroSaídas[[#This Row],[Data do Caixa Realizado]]))</f>
        <v>4</v>
      </c>
      <c r="J90">
        <f>IF([1]!TbRegistroSaídas[[#This Row],[Data do Caixa Realizado]]="",0,YEAR([1]!TbRegistroSaídas[[#This Row],[Data do Caixa Realizado]]))</f>
        <v>2018</v>
      </c>
      <c r="K90">
        <f>IF([1]!TbRegistroSaídas[[#This Row],[Data da Competência]]="",0,MONTH([1]!TbRegistroSaídas[[#This Row],[Data da Competência]]))</f>
        <v>4</v>
      </c>
      <c r="L90">
        <f>IF([1]!TbRegistroSaídas[[#This Row],[Data da Competência]]="",0,YEAR([1]!TbRegistroSaídas[[#This Row],[Data da Competência]]))</f>
        <v>2018</v>
      </c>
      <c r="M90">
        <f>IF([1]!TbRegistroSaídas[[#This Row],[Data do Caixa Previsto]]="",0,MONTH([1]!TbRegistroSaídas[[#This Row],[Data do Caixa Previsto]]))</f>
        <v>4</v>
      </c>
      <c r="N90">
        <f>IF([1]!TbRegistroSaídas[[#This Row],[Data do Caixa Previsto]]="",0,YEAR([1]!TbRegistroSaídas[[#This Row],[Data do Caixa Previsto]]))</f>
        <v>2018</v>
      </c>
      <c r="O9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91" spans="2:15" x14ac:dyDescent="0.25">
      <c r="B91" s="11">
        <v>43196</v>
      </c>
      <c r="C91" s="11">
        <v>43196</v>
      </c>
      <c r="D91" s="11">
        <v>43196</v>
      </c>
      <c r="E91" t="s">
        <v>36</v>
      </c>
      <c r="F91" t="s">
        <v>43</v>
      </c>
      <c r="G91" t="s">
        <v>371</v>
      </c>
      <c r="H91" s="114">
        <v>1144</v>
      </c>
      <c r="I91">
        <f>IF([1]!TbRegistroSaídas[[#This Row],[Data do Caixa Realizado]]="",0,MONTH([1]!TbRegistroSaídas[[#This Row],[Data do Caixa Realizado]]))</f>
        <v>4</v>
      </c>
      <c r="J91">
        <f>IF([1]!TbRegistroSaídas[[#This Row],[Data do Caixa Realizado]]="",0,YEAR([1]!TbRegistroSaídas[[#This Row],[Data do Caixa Realizado]]))</f>
        <v>2018</v>
      </c>
      <c r="K91">
        <f>IF([1]!TbRegistroSaídas[[#This Row],[Data da Competência]]="",0,MONTH([1]!TbRegistroSaídas[[#This Row],[Data da Competência]]))</f>
        <v>4</v>
      </c>
      <c r="L91">
        <f>IF([1]!TbRegistroSaídas[[#This Row],[Data da Competência]]="",0,YEAR([1]!TbRegistroSaídas[[#This Row],[Data da Competência]]))</f>
        <v>2018</v>
      </c>
      <c r="M91">
        <f>IF([1]!TbRegistroSaídas[[#This Row],[Data do Caixa Previsto]]="",0,MONTH([1]!TbRegistroSaídas[[#This Row],[Data do Caixa Previsto]]))</f>
        <v>4</v>
      </c>
      <c r="N91">
        <f>IF([1]!TbRegistroSaídas[[#This Row],[Data do Caixa Previsto]]="",0,YEAR([1]!TbRegistroSaídas[[#This Row],[Data do Caixa Previsto]]))</f>
        <v>2018</v>
      </c>
      <c r="O9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92" spans="2:15" x14ac:dyDescent="0.25">
      <c r="B92" s="11">
        <v>43240.686796046153</v>
      </c>
      <c r="C92" s="11">
        <v>43200</v>
      </c>
      <c r="D92" s="11">
        <v>43240.686796046153</v>
      </c>
      <c r="E92" t="s">
        <v>36</v>
      </c>
      <c r="F92" t="s">
        <v>33</v>
      </c>
      <c r="G92" t="s">
        <v>372</v>
      </c>
      <c r="H92" s="114">
        <v>597</v>
      </c>
      <c r="I92">
        <f>IF([1]!TbRegistroSaídas[[#This Row],[Data do Caixa Realizado]]="",0,MONTH([1]!TbRegistroSaídas[[#This Row],[Data do Caixa Realizado]]))</f>
        <v>5</v>
      </c>
      <c r="J92">
        <f>IF([1]!TbRegistroSaídas[[#This Row],[Data do Caixa Realizado]]="",0,YEAR([1]!TbRegistroSaídas[[#This Row],[Data do Caixa Realizado]]))</f>
        <v>2018</v>
      </c>
      <c r="K92">
        <f>IF([1]!TbRegistroSaídas[[#This Row],[Data da Competência]]="",0,MONTH([1]!TbRegistroSaídas[[#This Row],[Data da Competência]]))</f>
        <v>4</v>
      </c>
      <c r="L92">
        <f>IF([1]!TbRegistroSaídas[[#This Row],[Data da Competência]]="",0,YEAR([1]!TbRegistroSaídas[[#This Row],[Data da Competência]]))</f>
        <v>2018</v>
      </c>
      <c r="M92">
        <f>IF([1]!TbRegistroSaídas[[#This Row],[Data do Caixa Previsto]]="",0,MONTH([1]!TbRegistroSaídas[[#This Row],[Data do Caixa Previsto]]))</f>
        <v>5</v>
      </c>
      <c r="N92">
        <f>IF([1]!TbRegistroSaídas[[#This Row],[Data do Caixa Previsto]]="",0,YEAR([1]!TbRegistroSaídas[[#This Row],[Data do Caixa Previsto]]))</f>
        <v>2018</v>
      </c>
      <c r="O9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93" spans="2:15" x14ac:dyDescent="0.25">
      <c r="B93" s="11">
        <v>43206</v>
      </c>
      <c r="C93" s="11">
        <v>43206</v>
      </c>
      <c r="D93" s="11">
        <v>43206</v>
      </c>
      <c r="E93" t="s">
        <v>36</v>
      </c>
      <c r="F93" t="s">
        <v>43</v>
      </c>
      <c r="G93" t="s">
        <v>373</v>
      </c>
      <c r="H93" s="114">
        <v>3445</v>
      </c>
      <c r="I93">
        <f>IF([1]!TbRegistroSaídas[[#This Row],[Data do Caixa Realizado]]="",0,MONTH([1]!TbRegistroSaídas[[#This Row],[Data do Caixa Realizado]]))</f>
        <v>4</v>
      </c>
      <c r="J93">
        <f>IF([1]!TbRegistroSaídas[[#This Row],[Data do Caixa Realizado]]="",0,YEAR([1]!TbRegistroSaídas[[#This Row],[Data do Caixa Realizado]]))</f>
        <v>2018</v>
      </c>
      <c r="K93">
        <f>IF([1]!TbRegistroSaídas[[#This Row],[Data da Competência]]="",0,MONTH([1]!TbRegistroSaídas[[#This Row],[Data da Competência]]))</f>
        <v>4</v>
      </c>
      <c r="L93">
        <f>IF([1]!TbRegistroSaídas[[#This Row],[Data da Competência]]="",0,YEAR([1]!TbRegistroSaídas[[#This Row],[Data da Competência]]))</f>
        <v>2018</v>
      </c>
      <c r="M93">
        <f>IF([1]!TbRegistroSaídas[[#This Row],[Data do Caixa Previsto]]="",0,MONTH([1]!TbRegistroSaídas[[#This Row],[Data do Caixa Previsto]]))</f>
        <v>4</v>
      </c>
      <c r="N93">
        <f>IF([1]!TbRegistroSaídas[[#This Row],[Data do Caixa Previsto]]="",0,YEAR([1]!TbRegistroSaídas[[#This Row],[Data do Caixa Previsto]]))</f>
        <v>2018</v>
      </c>
      <c r="O9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94" spans="2:15" x14ac:dyDescent="0.25">
      <c r="B94" s="11" t="s">
        <v>68</v>
      </c>
      <c r="C94" s="11">
        <v>43212</v>
      </c>
      <c r="D94" s="11">
        <v>43222.305289041076</v>
      </c>
      <c r="E94" t="s">
        <v>36</v>
      </c>
      <c r="F94" t="s">
        <v>31</v>
      </c>
      <c r="G94" t="s">
        <v>374</v>
      </c>
      <c r="H94" s="114">
        <v>1996</v>
      </c>
      <c r="I94">
        <f>IF([1]!TbRegistroSaídas[[#This Row],[Data do Caixa Realizado]]="",0,MONTH([1]!TbRegistroSaídas[[#This Row],[Data do Caixa Realizado]]))</f>
        <v>0</v>
      </c>
      <c r="J94">
        <f>IF([1]!TbRegistroSaídas[[#This Row],[Data do Caixa Realizado]]="",0,YEAR([1]!TbRegistroSaídas[[#This Row],[Data do Caixa Realizado]]))</f>
        <v>0</v>
      </c>
      <c r="K94">
        <f>IF([1]!TbRegistroSaídas[[#This Row],[Data da Competência]]="",0,MONTH([1]!TbRegistroSaídas[[#This Row],[Data da Competência]]))</f>
        <v>4</v>
      </c>
      <c r="L94">
        <f>IF([1]!TbRegistroSaídas[[#This Row],[Data da Competência]]="",0,YEAR([1]!TbRegistroSaídas[[#This Row],[Data da Competência]]))</f>
        <v>2018</v>
      </c>
      <c r="M94">
        <f>IF([1]!TbRegistroSaídas[[#This Row],[Data do Caixa Previsto]]="",0,MONTH([1]!TbRegistroSaídas[[#This Row],[Data do Caixa Previsto]]))</f>
        <v>5</v>
      </c>
      <c r="N94">
        <f>IF([1]!TbRegistroSaídas[[#This Row],[Data do Caixa Previsto]]="",0,YEAR([1]!TbRegistroSaídas[[#This Row],[Data do Caixa Previsto]]))</f>
        <v>2018</v>
      </c>
      <c r="O9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2130.6947109589237</v>
      </c>
    </row>
    <row r="95" spans="2:15" x14ac:dyDescent="0.25">
      <c r="B95" s="11">
        <v>43218</v>
      </c>
      <c r="C95" s="11">
        <v>43218</v>
      </c>
      <c r="D95" s="11">
        <v>43218</v>
      </c>
      <c r="E95" t="s">
        <v>36</v>
      </c>
      <c r="F95" t="s">
        <v>33</v>
      </c>
      <c r="G95" t="s">
        <v>375</v>
      </c>
      <c r="H95" s="114">
        <v>1254</v>
      </c>
      <c r="I95">
        <f>IF([1]!TbRegistroSaídas[[#This Row],[Data do Caixa Realizado]]="",0,MONTH([1]!TbRegistroSaídas[[#This Row],[Data do Caixa Realizado]]))</f>
        <v>4</v>
      </c>
      <c r="J95">
        <f>IF([1]!TbRegistroSaídas[[#This Row],[Data do Caixa Realizado]]="",0,YEAR([1]!TbRegistroSaídas[[#This Row],[Data do Caixa Realizado]]))</f>
        <v>2018</v>
      </c>
      <c r="K95">
        <f>IF([1]!TbRegistroSaídas[[#This Row],[Data da Competência]]="",0,MONTH([1]!TbRegistroSaídas[[#This Row],[Data da Competência]]))</f>
        <v>4</v>
      </c>
      <c r="L95">
        <f>IF([1]!TbRegistroSaídas[[#This Row],[Data da Competência]]="",0,YEAR([1]!TbRegistroSaídas[[#This Row],[Data da Competência]]))</f>
        <v>2018</v>
      </c>
      <c r="M95">
        <f>IF([1]!TbRegistroSaídas[[#This Row],[Data do Caixa Previsto]]="",0,MONTH([1]!TbRegistroSaídas[[#This Row],[Data do Caixa Previsto]]))</f>
        <v>4</v>
      </c>
      <c r="N95">
        <f>IF([1]!TbRegistroSaídas[[#This Row],[Data do Caixa Previsto]]="",0,YEAR([1]!TbRegistroSaídas[[#This Row],[Data do Caixa Previsto]]))</f>
        <v>2018</v>
      </c>
      <c r="O9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96" spans="2:15" x14ac:dyDescent="0.25">
      <c r="B96" s="11">
        <v>43223.806256091018</v>
      </c>
      <c r="C96" s="11">
        <v>43219</v>
      </c>
      <c r="D96" s="11">
        <v>43223.806256091018</v>
      </c>
      <c r="E96" t="s">
        <v>36</v>
      </c>
      <c r="F96" t="s">
        <v>33</v>
      </c>
      <c r="G96" t="s">
        <v>376</v>
      </c>
      <c r="H96" s="114">
        <v>905</v>
      </c>
      <c r="I96">
        <f>IF([1]!TbRegistroSaídas[[#This Row],[Data do Caixa Realizado]]="",0,MONTH([1]!TbRegistroSaídas[[#This Row],[Data do Caixa Realizado]]))</f>
        <v>5</v>
      </c>
      <c r="J96">
        <f>IF([1]!TbRegistroSaídas[[#This Row],[Data do Caixa Realizado]]="",0,YEAR([1]!TbRegistroSaídas[[#This Row],[Data do Caixa Realizado]]))</f>
        <v>2018</v>
      </c>
      <c r="K96">
        <f>IF([1]!TbRegistroSaídas[[#This Row],[Data da Competência]]="",0,MONTH([1]!TbRegistroSaídas[[#This Row],[Data da Competência]]))</f>
        <v>4</v>
      </c>
      <c r="L96">
        <f>IF([1]!TbRegistroSaídas[[#This Row],[Data da Competência]]="",0,YEAR([1]!TbRegistroSaídas[[#This Row],[Data da Competência]]))</f>
        <v>2018</v>
      </c>
      <c r="M96">
        <f>IF([1]!TbRegistroSaídas[[#This Row],[Data do Caixa Previsto]]="",0,MONTH([1]!TbRegistroSaídas[[#This Row],[Data do Caixa Previsto]]))</f>
        <v>5</v>
      </c>
      <c r="N96">
        <f>IF([1]!TbRegistroSaídas[[#This Row],[Data do Caixa Previsto]]="",0,YEAR([1]!TbRegistroSaídas[[#This Row],[Data do Caixa Previsto]]))</f>
        <v>2018</v>
      </c>
      <c r="O9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97" spans="2:15" x14ac:dyDescent="0.25">
      <c r="B97" s="11" t="s">
        <v>68</v>
      </c>
      <c r="C97" s="11">
        <v>43222</v>
      </c>
      <c r="D97" s="11">
        <v>43251.616600040084</v>
      </c>
      <c r="E97" t="s">
        <v>36</v>
      </c>
      <c r="F97" t="s">
        <v>32</v>
      </c>
      <c r="G97" t="s">
        <v>377</v>
      </c>
      <c r="H97" s="114">
        <v>2975</v>
      </c>
      <c r="I97">
        <f>IF([1]!TbRegistroSaídas[[#This Row],[Data do Caixa Realizado]]="",0,MONTH([1]!TbRegistroSaídas[[#This Row],[Data do Caixa Realizado]]))</f>
        <v>0</v>
      </c>
      <c r="J97">
        <f>IF([1]!TbRegistroSaídas[[#This Row],[Data do Caixa Realizado]]="",0,YEAR([1]!TbRegistroSaídas[[#This Row],[Data do Caixa Realizado]]))</f>
        <v>0</v>
      </c>
      <c r="K97">
        <f>IF([1]!TbRegistroSaídas[[#This Row],[Data da Competência]]="",0,MONTH([1]!TbRegistroSaídas[[#This Row],[Data da Competência]]))</f>
        <v>5</v>
      </c>
      <c r="L97">
        <f>IF([1]!TbRegistroSaídas[[#This Row],[Data da Competência]]="",0,YEAR([1]!TbRegistroSaídas[[#This Row],[Data da Competência]]))</f>
        <v>2018</v>
      </c>
      <c r="M97">
        <f>IF([1]!TbRegistroSaídas[[#This Row],[Data do Caixa Previsto]]="",0,MONTH([1]!TbRegistroSaídas[[#This Row],[Data do Caixa Previsto]]))</f>
        <v>5</v>
      </c>
      <c r="N97">
        <f>IF([1]!TbRegistroSaídas[[#This Row],[Data do Caixa Previsto]]="",0,YEAR([1]!TbRegistroSaídas[[#This Row],[Data do Caixa Previsto]]))</f>
        <v>2018</v>
      </c>
      <c r="O9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2101.3833999599156</v>
      </c>
    </row>
    <row r="98" spans="2:15" x14ac:dyDescent="0.25">
      <c r="B98" s="11" t="s">
        <v>68</v>
      </c>
      <c r="C98" s="11">
        <v>43223</v>
      </c>
      <c r="D98" s="11">
        <v>43228.679133753983</v>
      </c>
      <c r="E98" t="s">
        <v>36</v>
      </c>
      <c r="F98" t="s">
        <v>43</v>
      </c>
      <c r="G98" t="s">
        <v>378</v>
      </c>
      <c r="H98" s="114">
        <v>4807</v>
      </c>
      <c r="I98">
        <f>IF([1]!TbRegistroSaídas[[#This Row],[Data do Caixa Realizado]]="",0,MONTH([1]!TbRegistroSaídas[[#This Row],[Data do Caixa Realizado]]))</f>
        <v>0</v>
      </c>
      <c r="J98">
        <f>IF([1]!TbRegistroSaídas[[#This Row],[Data do Caixa Realizado]]="",0,YEAR([1]!TbRegistroSaídas[[#This Row],[Data do Caixa Realizado]]))</f>
        <v>0</v>
      </c>
      <c r="K98">
        <f>IF([1]!TbRegistroSaídas[[#This Row],[Data da Competência]]="",0,MONTH([1]!TbRegistroSaídas[[#This Row],[Data da Competência]]))</f>
        <v>5</v>
      </c>
      <c r="L98">
        <f>IF([1]!TbRegistroSaídas[[#This Row],[Data da Competência]]="",0,YEAR([1]!TbRegistroSaídas[[#This Row],[Data da Competência]]))</f>
        <v>2018</v>
      </c>
      <c r="M98">
        <f>IF([1]!TbRegistroSaídas[[#This Row],[Data do Caixa Previsto]]="",0,MONTH([1]!TbRegistroSaídas[[#This Row],[Data do Caixa Previsto]]))</f>
        <v>5</v>
      </c>
      <c r="N98">
        <f>IF([1]!TbRegistroSaídas[[#This Row],[Data do Caixa Previsto]]="",0,YEAR([1]!TbRegistroSaídas[[#This Row],[Data do Caixa Previsto]]))</f>
        <v>2018</v>
      </c>
      <c r="O9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2124.3208662460165</v>
      </c>
    </row>
    <row r="99" spans="2:15" x14ac:dyDescent="0.25">
      <c r="B99" s="11">
        <v>43264.296949259209</v>
      </c>
      <c r="C99" s="11">
        <v>43230</v>
      </c>
      <c r="D99" s="11">
        <v>43264.296949259209</v>
      </c>
      <c r="E99" t="s">
        <v>36</v>
      </c>
      <c r="F99" t="s">
        <v>31</v>
      </c>
      <c r="G99" t="s">
        <v>379</v>
      </c>
      <c r="H99" s="114">
        <v>1882</v>
      </c>
      <c r="I99">
        <f>IF([1]!TbRegistroSaídas[[#This Row],[Data do Caixa Realizado]]="",0,MONTH([1]!TbRegistroSaídas[[#This Row],[Data do Caixa Realizado]]))</f>
        <v>6</v>
      </c>
      <c r="J99">
        <f>IF([1]!TbRegistroSaídas[[#This Row],[Data do Caixa Realizado]]="",0,YEAR([1]!TbRegistroSaídas[[#This Row],[Data do Caixa Realizado]]))</f>
        <v>2018</v>
      </c>
      <c r="K99">
        <f>IF([1]!TbRegistroSaídas[[#This Row],[Data da Competência]]="",0,MONTH([1]!TbRegistroSaídas[[#This Row],[Data da Competência]]))</f>
        <v>5</v>
      </c>
      <c r="L99">
        <f>IF([1]!TbRegistroSaídas[[#This Row],[Data da Competência]]="",0,YEAR([1]!TbRegistroSaídas[[#This Row],[Data da Competência]]))</f>
        <v>2018</v>
      </c>
      <c r="M99">
        <f>IF([1]!TbRegistroSaídas[[#This Row],[Data do Caixa Previsto]]="",0,MONTH([1]!TbRegistroSaídas[[#This Row],[Data do Caixa Previsto]]))</f>
        <v>6</v>
      </c>
      <c r="N99">
        <f>IF([1]!TbRegistroSaídas[[#This Row],[Data do Caixa Previsto]]="",0,YEAR([1]!TbRegistroSaídas[[#This Row],[Data do Caixa Previsto]]))</f>
        <v>2018</v>
      </c>
      <c r="O9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00" spans="2:15" x14ac:dyDescent="0.25">
      <c r="B100" s="11">
        <v>43278.791757178202</v>
      </c>
      <c r="C100" s="11">
        <v>43235</v>
      </c>
      <c r="D100" s="11">
        <v>43278.791757178202</v>
      </c>
      <c r="E100" t="s">
        <v>36</v>
      </c>
      <c r="F100" t="s">
        <v>35</v>
      </c>
      <c r="G100" t="s">
        <v>380</v>
      </c>
      <c r="H100" s="114">
        <v>3932</v>
      </c>
      <c r="I100">
        <f>IF([1]!TbRegistroSaídas[[#This Row],[Data do Caixa Realizado]]="",0,MONTH([1]!TbRegistroSaídas[[#This Row],[Data do Caixa Realizado]]))</f>
        <v>6</v>
      </c>
      <c r="J100">
        <f>IF([1]!TbRegistroSaídas[[#This Row],[Data do Caixa Realizado]]="",0,YEAR([1]!TbRegistroSaídas[[#This Row],[Data do Caixa Realizado]]))</f>
        <v>2018</v>
      </c>
      <c r="K100">
        <f>IF([1]!TbRegistroSaídas[[#This Row],[Data da Competência]]="",0,MONTH([1]!TbRegistroSaídas[[#This Row],[Data da Competência]]))</f>
        <v>5</v>
      </c>
      <c r="L100">
        <f>IF([1]!TbRegistroSaídas[[#This Row],[Data da Competência]]="",0,YEAR([1]!TbRegistroSaídas[[#This Row],[Data da Competência]]))</f>
        <v>2018</v>
      </c>
      <c r="M100">
        <f>IF([1]!TbRegistroSaídas[[#This Row],[Data do Caixa Previsto]]="",0,MONTH([1]!TbRegistroSaídas[[#This Row],[Data do Caixa Previsto]]))</f>
        <v>6</v>
      </c>
      <c r="N100">
        <f>IF([1]!TbRegistroSaídas[[#This Row],[Data do Caixa Previsto]]="",0,YEAR([1]!TbRegistroSaídas[[#This Row],[Data do Caixa Previsto]]))</f>
        <v>2018</v>
      </c>
      <c r="O10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01" spans="2:15" x14ac:dyDescent="0.25">
      <c r="B101" s="11">
        <v>43238</v>
      </c>
      <c r="C101" s="11">
        <v>43238</v>
      </c>
      <c r="D101" s="11">
        <v>43238</v>
      </c>
      <c r="E101" t="s">
        <v>36</v>
      </c>
      <c r="F101" t="s">
        <v>43</v>
      </c>
      <c r="G101" t="s">
        <v>381</v>
      </c>
      <c r="H101" s="114">
        <v>701</v>
      </c>
      <c r="I101">
        <f>IF([1]!TbRegistroSaídas[[#This Row],[Data do Caixa Realizado]]="",0,MONTH([1]!TbRegistroSaídas[[#This Row],[Data do Caixa Realizado]]))</f>
        <v>5</v>
      </c>
      <c r="J101">
        <f>IF([1]!TbRegistroSaídas[[#This Row],[Data do Caixa Realizado]]="",0,YEAR([1]!TbRegistroSaídas[[#This Row],[Data do Caixa Realizado]]))</f>
        <v>2018</v>
      </c>
      <c r="K101">
        <f>IF([1]!TbRegistroSaídas[[#This Row],[Data da Competência]]="",0,MONTH([1]!TbRegistroSaídas[[#This Row],[Data da Competência]]))</f>
        <v>5</v>
      </c>
      <c r="L101">
        <f>IF([1]!TbRegistroSaídas[[#This Row],[Data da Competência]]="",0,YEAR([1]!TbRegistroSaídas[[#This Row],[Data da Competência]]))</f>
        <v>2018</v>
      </c>
      <c r="M101">
        <f>IF([1]!TbRegistroSaídas[[#This Row],[Data do Caixa Previsto]]="",0,MONTH([1]!TbRegistroSaídas[[#This Row],[Data do Caixa Previsto]]))</f>
        <v>5</v>
      </c>
      <c r="N101">
        <f>IF([1]!TbRegistroSaídas[[#This Row],[Data do Caixa Previsto]]="",0,YEAR([1]!TbRegistroSaídas[[#This Row],[Data do Caixa Previsto]]))</f>
        <v>2018</v>
      </c>
      <c r="O10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02" spans="2:15" x14ac:dyDescent="0.25">
      <c r="B102" s="11" t="s">
        <v>68</v>
      </c>
      <c r="C102" s="11">
        <v>43239</v>
      </c>
      <c r="D102" s="11">
        <v>43278.250305144895</v>
      </c>
      <c r="E102" t="s">
        <v>36</v>
      </c>
      <c r="F102" t="s">
        <v>43</v>
      </c>
      <c r="G102" t="s">
        <v>382</v>
      </c>
      <c r="H102" s="114">
        <v>2651</v>
      </c>
      <c r="I102">
        <f>IF([1]!TbRegistroSaídas[[#This Row],[Data do Caixa Realizado]]="",0,MONTH([1]!TbRegistroSaídas[[#This Row],[Data do Caixa Realizado]]))</f>
        <v>0</v>
      </c>
      <c r="J102">
        <f>IF([1]!TbRegistroSaídas[[#This Row],[Data do Caixa Realizado]]="",0,YEAR([1]!TbRegistroSaídas[[#This Row],[Data do Caixa Realizado]]))</f>
        <v>0</v>
      </c>
      <c r="K102">
        <f>IF([1]!TbRegistroSaídas[[#This Row],[Data da Competência]]="",0,MONTH([1]!TbRegistroSaídas[[#This Row],[Data da Competência]]))</f>
        <v>5</v>
      </c>
      <c r="L102">
        <f>IF([1]!TbRegistroSaídas[[#This Row],[Data da Competência]]="",0,YEAR([1]!TbRegistroSaídas[[#This Row],[Data da Competência]]))</f>
        <v>2018</v>
      </c>
      <c r="M102">
        <f>IF([1]!TbRegistroSaídas[[#This Row],[Data do Caixa Previsto]]="",0,MONTH([1]!TbRegistroSaídas[[#This Row],[Data do Caixa Previsto]]))</f>
        <v>6</v>
      </c>
      <c r="N102">
        <f>IF([1]!TbRegistroSaídas[[#This Row],[Data do Caixa Previsto]]="",0,YEAR([1]!TbRegistroSaídas[[#This Row],[Data do Caixa Previsto]]))</f>
        <v>2018</v>
      </c>
      <c r="O10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2074.7496948551052</v>
      </c>
    </row>
    <row r="103" spans="2:15" x14ac:dyDescent="0.25">
      <c r="B103" s="11">
        <v>43282.817543595353</v>
      </c>
      <c r="C103" s="11">
        <v>43246</v>
      </c>
      <c r="D103" s="11">
        <v>43282.817543595353</v>
      </c>
      <c r="E103" t="s">
        <v>36</v>
      </c>
      <c r="F103" t="s">
        <v>43</v>
      </c>
      <c r="G103" t="s">
        <v>383</v>
      </c>
      <c r="H103" s="114">
        <v>3792</v>
      </c>
      <c r="I103">
        <f>IF([1]!TbRegistroSaídas[[#This Row],[Data do Caixa Realizado]]="",0,MONTH([1]!TbRegistroSaídas[[#This Row],[Data do Caixa Realizado]]))</f>
        <v>7</v>
      </c>
      <c r="J103">
        <f>IF([1]!TbRegistroSaídas[[#This Row],[Data do Caixa Realizado]]="",0,YEAR([1]!TbRegistroSaídas[[#This Row],[Data do Caixa Realizado]]))</f>
        <v>2018</v>
      </c>
      <c r="K103">
        <f>IF([1]!TbRegistroSaídas[[#This Row],[Data da Competência]]="",0,MONTH([1]!TbRegistroSaídas[[#This Row],[Data da Competência]]))</f>
        <v>5</v>
      </c>
      <c r="L103">
        <f>IF([1]!TbRegistroSaídas[[#This Row],[Data da Competência]]="",0,YEAR([1]!TbRegistroSaídas[[#This Row],[Data da Competência]]))</f>
        <v>2018</v>
      </c>
      <c r="M103">
        <f>IF([1]!TbRegistroSaídas[[#This Row],[Data do Caixa Previsto]]="",0,MONTH([1]!TbRegistroSaídas[[#This Row],[Data do Caixa Previsto]]))</f>
        <v>7</v>
      </c>
      <c r="N103">
        <f>IF([1]!TbRegistroSaídas[[#This Row],[Data do Caixa Previsto]]="",0,YEAR([1]!TbRegistroSaídas[[#This Row],[Data do Caixa Previsto]]))</f>
        <v>2018</v>
      </c>
      <c r="O10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04" spans="2:15" x14ac:dyDescent="0.25">
      <c r="B104" s="11">
        <v>43306.553383849692</v>
      </c>
      <c r="C104" s="11">
        <v>43248</v>
      </c>
      <c r="D104" s="11">
        <v>43306.553383849692</v>
      </c>
      <c r="E104" t="s">
        <v>36</v>
      </c>
      <c r="F104" t="s">
        <v>35</v>
      </c>
      <c r="G104" t="s">
        <v>384</v>
      </c>
      <c r="H104" s="114">
        <v>611</v>
      </c>
      <c r="I104">
        <f>IF([1]!TbRegistroSaídas[[#This Row],[Data do Caixa Realizado]]="",0,MONTH([1]!TbRegistroSaídas[[#This Row],[Data do Caixa Realizado]]))</f>
        <v>7</v>
      </c>
      <c r="J104">
        <f>IF([1]!TbRegistroSaídas[[#This Row],[Data do Caixa Realizado]]="",0,YEAR([1]!TbRegistroSaídas[[#This Row],[Data do Caixa Realizado]]))</f>
        <v>2018</v>
      </c>
      <c r="K104">
        <f>IF([1]!TbRegistroSaídas[[#This Row],[Data da Competência]]="",0,MONTH([1]!TbRegistroSaídas[[#This Row],[Data da Competência]]))</f>
        <v>5</v>
      </c>
      <c r="L104">
        <f>IF([1]!TbRegistroSaídas[[#This Row],[Data da Competência]]="",0,YEAR([1]!TbRegistroSaídas[[#This Row],[Data da Competência]]))</f>
        <v>2018</v>
      </c>
      <c r="M104">
        <f>IF([1]!TbRegistroSaídas[[#This Row],[Data do Caixa Previsto]]="",0,MONTH([1]!TbRegistroSaídas[[#This Row],[Data do Caixa Previsto]]))</f>
        <v>7</v>
      </c>
      <c r="N104">
        <f>IF([1]!TbRegistroSaídas[[#This Row],[Data do Caixa Previsto]]="",0,YEAR([1]!TbRegistroSaídas[[#This Row],[Data do Caixa Previsto]]))</f>
        <v>2018</v>
      </c>
      <c r="O10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05" spans="2:15" x14ac:dyDescent="0.25">
      <c r="B105" s="11">
        <v>43292.621992013512</v>
      </c>
      <c r="C105" s="11">
        <v>43251</v>
      </c>
      <c r="D105" s="11">
        <v>43292.621992013512</v>
      </c>
      <c r="E105" t="s">
        <v>36</v>
      </c>
      <c r="F105" t="s">
        <v>32</v>
      </c>
      <c r="G105" t="s">
        <v>385</v>
      </c>
      <c r="H105" s="114">
        <v>3431</v>
      </c>
      <c r="I105">
        <f>IF([1]!TbRegistroSaídas[[#This Row],[Data do Caixa Realizado]]="",0,MONTH([1]!TbRegistroSaídas[[#This Row],[Data do Caixa Realizado]]))</f>
        <v>7</v>
      </c>
      <c r="J105">
        <f>IF([1]!TbRegistroSaídas[[#This Row],[Data do Caixa Realizado]]="",0,YEAR([1]!TbRegistroSaídas[[#This Row],[Data do Caixa Realizado]]))</f>
        <v>2018</v>
      </c>
      <c r="K105">
        <f>IF([1]!TbRegistroSaídas[[#This Row],[Data da Competência]]="",0,MONTH([1]!TbRegistroSaídas[[#This Row],[Data da Competência]]))</f>
        <v>5</v>
      </c>
      <c r="L105">
        <f>IF([1]!TbRegistroSaídas[[#This Row],[Data da Competência]]="",0,YEAR([1]!TbRegistroSaídas[[#This Row],[Data da Competência]]))</f>
        <v>2018</v>
      </c>
      <c r="M105">
        <f>IF([1]!TbRegistroSaídas[[#This Row],[Data do Caixa Previsto]]="",0,MONTH([1]!TbRegistroSaídas[[#This Row],[Data do Caixa Previsto]]))</f>
        <v>7</v>
      </c>
      <c r="N105">
        <f>IF([1]!TbRegistroSaídas[[#This Row],[Data do Caixa Previsto]]="",0,YEAR([1]!TbRegistroSaídas[[#This Row],[Data do Caixa Previsto]]))</f>
        <v>2018</v>
      </c>
      <c r="O10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06" spans="2:15" x14ac:dyDescent="0.25">
      <c r="B106" s="11" t="s">
        <v>68</v>
      </c>
      <c r="C106" s="11">
        <v>43253</v>
      </c>
      <c r="D106" s="11">
        <v>43253</v>
      </c>
      <c r="E106" t="s">
        <v>36</v>
      </c>
      <c r="F106" t="s">
        <v>43</v>
      </c>
      <c r="G106" t="s">
        <v>386</v>
      </c>
      <c r="H106" s="114">
        <v>3670</v>
      </c>
      <c r="I106">
        <f>IF([1]!TbRegistroSaídas[[#This Row],[Data do Caixa Realizado]]="",0,MONTH([1]!TbRegistroSaídas[[#This Row],[Data do Caixa Realizado]]))</f>
        <v>0</v>
      </c>
      <c r="J106">
        <f>IF([1]!TbRegistroSaídas[[#This Row],[Data do Caixa Realizado]]="",0,YEAR([1]!TbRegistroSaídas[[#This Row],[Data do Caixa Realizado]]))</f>
        <v>0</v>
      </c>
      <c r="K106">
        <f>IF([1]!TbRegistroSaídas[[#This Row],[Data da Competência]]="",0,MONTH([1]!TbRegistroSaídas[[#This Row],[Data da Competência]]))</f>
        <v>6</v>
      </c>
      <c r="L106">
        <f>IF([1]!TbRegistroSaídas[[#This Row],[Data da Competência]]="",0,YEAR([1]!TbRegistroSaídas[[#This Row],[Data da Competência]]))</f>
        <v>2018</v>
      </c>
      <c r="M106">
        <f>IF([1]!TbRegistroSaídas[[#This Row],[Data do Caixa Previsto]]="",0,MONTH([1]!TbRegistroSaídas[[#This Row],[Data do Caixa Previsto]]))</f>
        <v>6</v>
      </c>
      <c r="N106">
        <f>IF([1]!TbRegistroSaídas[[#This Row],[Data do Caixa Previsto]]="",0,YEAR([1]!TbRegistroSaídas[[#This Row],[Data do Caixa Previsto]]))</f>
        <v>2018</v>
      </c>
      <c r="O10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2100</v>
      </c>
    </row>
    <row r="107" spans="2:15" x14ac:dyDescent="0.25">
      <c r="B107" s="11">
        <v>43259.6666754662</v>
      </c>
      <c r="C107" s="11">
        <v>43255</v>
      </c>
      <c r="D107" s="11">
        <v>43259.6666754662</v>
      </c>
      <c r="E107" t="s">
        <v>36</v>
      </c>
      <c r="F107" t="s">
        <v>43</v>
      </c>
      <c r="G107" t="s">
        <v>387</v>
      </c>
      <c r="H107" s="114">
        <v>4320</v>
      </c>
      <c r="I107">
        <f>IF([1]!TbRegistroSaídas[[#This Row],[Data do Caixa Realizado]]="",0,MONTH([1]!TbRegistroSaídas[[#This Row],[Data do Caixa Realizado]]))</f>
        <v>6</v>
      </c>
      <c r="J107">
        <f>IF([1]!TbRegistroSaídas[[#This Row],[Data do Caixa Realizado]]="",0,YEAR([1]!TbRegistroSaídas[[#This Row],[Data do Caixa Realizado]]))</f>
        <v>2018</v>
      </c>
      <c r="K107">
        <f>IF([1]!TbRegistroSaídas[[#This Row],[Data da Competência]]="",0,MONTH([1]!TbRegistroSaídas[[#This Row],[Data da Competência]]))</f>
        <v>6</v>
      </c>
      <c r="L107">
        <f>IF([1]!TbRegistroSaídas[[#This Row],[Data da Competência]]="",0,YEAR([1]!TbRegistroSaídas[[#This Row],[Data da Competência]]))</f>
        <v>2018</v>
      </c>
      <c r="M107">
        <f>IF([1]!TbRegistroSaídas[[#This Row],[Data do Caixa Previsto]]="",0,MONTH([1]!TbRegistroSaídas[[#This Row],[Data do Caixa Previsto]]))</f>
        <v>6</v>
      </c>
      <c r="N107">
        <f>IF([1]!TbRegistroSaídas[[#This Row],[Data do Caixa Previsto]]="",0,YEAR([1]!TbRegistroSaídas[[#This Row],[Data do Caixa Previsto]]))</f>
        <v>2018</v>
      </c>
      <c r="O10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08" spans="2:15" x14ac:dyDescent="0.25">
      <c r="B108" s="11">
        <v>43256</v>
      </c>
      <c r="C108" s="11">
        <v>43256</v>
      </c>
      <c r="D108" s="11">
        <v>43256</v>
      </c>
      <c r="E108" t="s">
        <v>36</v>
      </c>
      <c r="F108" t="s">
        <v>32</v>
      </c>
      <c r="G108" t="s">
        <v>388</v>
      </c>
      <c r="H108" s="114">
        <v>1809</v>
      </c>
      <c r="I108">
        <f>IF([1]!TbRegistroSaídas[[#This Row],[Data do Caixa Realizado]]="",0,MONTH([1]!TbRegistroSaídas[[#This Row],[Data do Caixa Realizado]]))</f>
        <v>6</v>
      </c>
      <c r="J108">
        <f>IF([1]!TbRegistroSaídas[[#This Row],[Data do Caixa Realizado]]="",0,YEAR([1]!TbRegistroSaídas[[#This Row],[Data do Caixa Realizado]]))</f>
        <v>2018</v>
      </c>
      <c r="K108">
        <f>IF([1]!TbRegistroSaídas[[#This Row],[Data da Competência]]="",0,MONTH([1]!TbRegistroSaídas[[#This Row],[Data da Competência]]))</f>
        <v>6</v>
      </c>
      <c r="L108">
        <f>IF([1]!TbRegistroSaídas[[#This Row],[Data da Competência]]="",0,YEAR([1]!TbRegistroSaídas[[#This Row],[Data da Competência]]))</f>
        <v>2018</v>
      </c>
      <c r="M108">
        <f>IF([1]!TbRegistroSaídas[[#This Row],[Data do Caixa Previsto]]="",0,MONTH([1]!TbRegistroSaídas[[#This Row],[Data do Caixa Previsto]]))</f>
        <v>6</v>
      </c>
      <c r="N108">
        <f>IF([1]!TbRegistroSaídas[[#This Row],[Data do Caixa Previsto]]="",0,YEAR([1]!TbRegistroSaídas[[#This Row],[Data do Caixa Previsto]]))</f>
        <v>2018</v>
      </c>
      <c r="O10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09" spans="2:15" x14ac:dyDescent="0.25">
      <c r="B109" s="11">
        <v>43306.811336210056</v>
      </c>
      <c r="C109" s="11">
        <v>43258</v>
      </c>
      <c r="D109" s="11">
        <v>43306.811336210056</v>
      </c>
      <c r="E109" t="s">
        <v>36</v>
      </c>
      <c r="F109" t="s">
        <v>43</v>
      </c>
      <c r="G109" t="s">
        <v>389</v>
      </c>
      <c r="H109" s="114">
        <v>667</v>
      </c>
      <c r="I109">
        <f>IF([1]!TbRegistroSaídas[[#This Row],[Data do Caixa Realizado]]="",0,MONTH([1]!TbRegistroSaídas[[#This Row],[Data do Caixa Realizado]]))</f>
        <v>7</v>
      </c>
      <c r="J109">
        <f>IF([1]!TbRegistroSaídas[[#This Row],[Data do Caixa Realizado]]="",0,YEAR([1]!TbRegistroSaídas[[#This Row],[Data do Caixa Realizado]]))</f>
        <v>2018</v>
      </c>
      <c r="K109">
        <f>IF([1]!TbRegistroSaídas[[#This Row],[Data da Competência]]="",0,MONTH([1]!TbRegistroSaídas[[#This Row],[Data da Competência]]))</f>
        <v>6</v>
      </c>
      <c r="L109">
        <f>IF([1]!TbRegistroSaídas[[#This Row],[Data da Competência]]="",0,YEAR([1]!TbRegistroSaídas[[#This Row],[Data da Competência]]))</f>
        <v>2018</v>
      </c>
      <c r="M109">
        <f>IF([1]!TbRegistroSaídas[[#This Row],[Data do Caixa Previsto]]="",0,MONTH([1]!TbRegistroSaídas[[#This Row],[Data do Caixa Previsto]]))</f>
        <v>7</v>
      </c>
      <c r="N109">
        <f>IF([1]!TbRegistroSaídas[[#This Row],[Data do Caixa Previsto]]="",0,YEAR([1]!TbRegistroSaídas[[#This Row],[Data do Caixa Previsto]]))</f>
        <v>2018</v>
      </c>
      <c r="O10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10" spans="2:15" x14ac:dyDescent="0.25">
      <c r="B110" s="11">
        <v>43262</v>
      </c>
      <c r="C110" s="11">
        <v>43262</v>
      </c>
      <c r="D110" s="11">
        <v>43262</v>
      </c>
      <c r="E110" t="s">
        <v>36</v>
      </c>
      <c r="F110" t="s">
        <v>31</v>
      </c>
      <c r="G110" t="s">
        <v>390</v>
      </c>
      <c r="H110" s="114">
        <v>1613</v>
      </c>
      <c r="I110">
        <f>IF([1]!TbRegistroSaídas[[#This Row],[Data do Caixa Realizado]]="",0,MONTH([1]!TbRegistroSaídas[[#This Row],[Data do Caixa Realizado]]))</f>
        <v>6</v>
      </c>
      <c r="J110">
        <f>IF([1]!TbRegistroSaídas[[#This Row],[Data do Caixa Realizado]]="",0,YEAR([1]!TbRegistroSaídas[[#This Row],[Data do Caixa Realizado]]))</f>
        <v>2018</v>
      </c>
      <c r="K110">
        <f>IF([1]!TbRegistroSaídas[[#This Row],[Data da Competência]]="",0,MONTH([1]!TbRegistroSaídas[[#This Row],[Data da Competência]]))</f>
        <v>6</v>
      </c>
      <c r="L110">
        <f>IF([1]!TbRegistroSaídas[[#This Row],[Data da Competência]]="",0,YEAR([1]!TbRegistroSaídas[[#This Row],[Data da Competência]]))</f>
        <v>2018</v>
      </c>
      <c r="M110">
        <f>IF([1]!TbRegistroSaídas[[#This Row],[Data do Caixa Previsto]]="",0,MONTH([1]!TbRegistroSaídas[[#This Row],[Data do Caixa Previsto]]))</f>
        <v>6</v>
      </c>
      <c r="N110">
        <f>IF([1]!TbRegistroSaídas[[#This Row],[Data do Caixa Previsto]]="",0,YEAR([1]!TbRegistroSaídas[[#This Row],[Data do Caixa Previsto]]))</f>
        <v>2018</v>
      </c>
      <c r="O11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11" spans="2:15" x14ac:dyDescent="0.25">
      <c r="B111" s="11">
        <v>43309.241793705783</v>
      </c>
      <c r="C111" s="11">
        <v>43268</v>
      </c>
      <c r="D111" s="11">
        <v>43309.241793705783</v>
      </c>
      <c r="E111" t="s">
        <v>36</v>
      </c>
      <c r="F111" t="s">
        <v>35</v>
      </c>
      <c r="G111" t="s">
        <v>391</v>
      </c>
      <c r="H111" s="114">
        <v>3756</v>
      </c>
      <c r="I111">
        <f>IF([1]!TbRegistroSaídas[[#This Row],[Data do Caixa Realizado]]="",0,MONTH([1]!TbRegistroSaídas[[#This Row],[Data do Caixa Realizado]]))</f>
        <v>7</v>
      </c>
      <c r="J111">
        <f>IF([1]!TbRegistroSaídas[[#This Row],[Data do Caixa Realizado]]="",0,YEAR([1]!TbRegistroSaídas[[#This Row],[Data do Caixa Realizado]]))</f>
        <v>2018</v>
      </c>
      <c r="K111">
        <f>IF([1]!TbRegistroSaídas[[#This Row],[Data da Competência]]="",0,MONTH([1]!TbRegistroSaídas[[#This Row],[Data da Competência]]))</f>
        <v>6</v>
      </c>
      <c r="L111">
        <f>IF([1]!TbRegistroSaídas[[#This Row],[Data da Competência]]="",0,YEAR([1]!TbRegistroSaídas[[#This Row],[Data da Competência]]))</f>
        <v>2018</v>
      </c>
      <c r="M111">
        <f>IF([1]!TbRegistroSaídas[[#This Row],[Data do Caixa Previsto]]="",0,MONTH([1]!TbRegistroSaídas[[#This Row],[Data do Caixa Previsto]]))</f>
        <v>7</v>
      </c>
      <c r="N111">
        <f>IF([1]!TbRegistroSaídas[[#This Row],[Data do Caixa Previsto]]="",0,YEAR([1]!TbRegistroSaídas[[#This Row],[Data do Caixa Previsto]]))</f>
        <v>2018</v>
      </c>
      <c r="O11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12" spans="2:15" x14ac:dyDescent="0.25">
      <c r="B112" s="11">
        <v>43271</v>
      </c>
      <c r="C112" s="11">
        <v>43271</v>
      </c>
      <c r="D112" s="11">
        <v>43271</v>
      </c>
      <c r="E112" t="s">
        <v>36</v>
      </c>
      <c r="F112" t="s">
        <v>32</v>
      </c>
      <c r="G112" t="s">
        <v>392</v>
      </c>
      <c r="H112" s="114">
        <v>3672</v>
      </c>
      <c r="I112">
        <f>IF([1]!TbRegistroSaídas[[#This Row],[Data do Caixa Realizado]]="",0,MONTH([1]!TbRegistroSaídas[[#This Row],[Data do Caixa Realizado]]))</f>
        <v>6</v>
      </c>
      <c r="J112">
        <f>IF([1]!TbRegistroSaídas[[#This Row],[Data do Caixa Realizado]]="",0,YEAR([1]!TbRegistroSaídas[[#This Row],[Data do Caixa Realizado]]))</f>
        <v>2018</v>
      </c>
      <c r="K112">
        <f>IF([1]!TbRegistroSaídas[[#This Row],[Data da Competência]]="",0,MONTH([1]!TbRegistroSaídas[[#This Row],[Data da Competência]]))</f>
        <v>6</v>
      </c>
      <c r="L112">
        <f>IF([1]!TbRegistroSaídas[[#This Row],[Data da Competência]]="",0,YEAR([1]!TbRegistroSaídas[[#This Row],[Data da Competência]]))</f>
        <v>2018</v>
      </c>
      <c r="M112">
        <f>IF([1]!TbRegistroSaídas[[#This Row],[Data do Caixa Previsto]]="",0,MONTH([1]!TbRegistroSaídas[[#This Row],[Data do Caixa Previsto]]))</f>
        <v>6</v>
      </c>
      <c r="N112">
        <f>IF([1]!TbRegistroSaídas[[#This Row],[Data do Caixa Previsto]]="",0,YEAR([1]!TbRegistroSaídas[[#This Row],[Data do Caixa Previsto]]))</f>
        <v>2018</v>
      </c>
      <c r="O11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13" spans="2:15" x14ac:dyDescent="0.25">
      <c r="B113" s="11" t="s">
        <v>68</v>
      </c>
      <c r="C113" s="11">
        <v>43277</v>
      </c>
      <c r="D113" s="11">
        <v>43288.040879967026</v>
      </c>
      <c r="E113" t="s">
        <v>36</v>
      </c>
      <c r="F113" t="s">
        <v>43</v>
      </c>
      <c r="G113" t="s">
        <v>393</v>
      </c>
      <c r="H113" s="114">
        <v>658</v>
      </c>
      <c r="I113">
        <f>IF([1]!TbRegistroSaídas[[#This Row],[Data do Caixa Realizado]]="",0,MONTH([1]!TbRegistroSaídas[[#This Row],[Data do Caixa Realizado]]))</f>
        <v>0</v>
      </c>
      <c r="J113">
        <f>IF([1]!TbRegistroSaídas[[#This Row],[Data do Caixa Realizado]]="",0,YEAR([1]!TbRegistroSaídas[[#This Row],[Data do Caixa Realizado]]))</f>
        <v>0</v>
      </c>
      <c r="K113">
        <f>IF([1]!TbRegistroSaídas[[#This Row],[Data da Competência]]="",0,MONTH([1]!TbRegistroSaídas[[#This Row],[Data da Competência]]))</f>
        <v>6</v>
      </c>
      <c r="L113">
        <f>IF([1]!TbRegistroSaídas[[#This Row],[Data da Competência]]="",0,YEAR([1]!TbRegistroSaídas[[#This Row],[Data da Competência]]))</f>
        <v>2018</v>
      </c>
      <c r="M113">
        <f>IF([1]!TbRegistroSaídas[[#This Row],[Data do Caixa Previsto]]="",0,MONTH([1]!TbRegistroSaídas[[#This Row],[Data do Caixa Previsto]]))</f>
        <v>7</v>
      </c>
      <c r="N113">
        <f>IF([1]!TbRegistroSaídas[[#This Row],[Data do Caixa Previsto]]="",0,YEAR([1]!TbRegistroSaídas[[#This Row],[Data do Caixa Previsto]]))</f>
        <v>2018</v>
      </c>
      <c r="O11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2064.9591200329742</v>
      </c>
    </row>
    <row r="114" spans="2:15" x14ac:dyDescent="0.25">
      <c r="B114" s="11">
        <v>43336.432893175937</v>
      </c>
      <c r="C114" s="11">
        <v>43280</v>
      </c>
      <c r="D114" s="11">
        <v>43336.432893175937</v>
      </c>
      <c r="E114" t="s">
        <v>36</v>
      </c>
      <c r="F114" t="s">
        <v>32</v>
      </c>
      <c r="G114" t="s">
        <v>394</v>
      </c>
      <c r="H114" s="114">
        <v>4762</v>
      </c>
      <c r="I114">
        <f>IF([1]!TbRegistroSaídas[[#This Row],[Data do Caixa Realizado]]="",0,MONTH([1]!TbRegistroSaídas[[#This Row],[Data do Caixa Realizado]]))</f>
        <v>8</v>
      </c>
      <c r="J114">
        <f>IF([1]!TbRegistroSaídas[[#This Row],[Data do Caixa Realizado]]="",0,YEAR([1]!TbRegistroSaídas[[#This Row],[Data do Caixa Realizado]]))</f>
        <v>2018</v>
      </c>
      <c r="K114">
        <f>IF([1]!TbRegistroSaídas[[#This Row],[Data da Competência]]="",0,MONTH([1]!TbRegistroSaídas[[#This Row],[Data da Competência]]))</f>
        <v>6</v>
      </c>
      <c r="L114">
        <f>IF([1]!TbRegistroSaídas[[#This Row],[Data da Competência]]="",0,YEAR([1]!TbRegistroSaídas[[#This Row],[Data da Competência]]))</f>
        <v>2018</v>
      </c>
      <c r="M114">
        <f>IF([1]!TbRegistroSaídas[[#This Row],[Data do Caixa Previsto]]="",0,MONTH([1]!TbRegistroSaídas[[#This Row],[Data do Caixa Previsto]]))</f>
        <v>8</v>
      </c>
      <c r="N114">
        <f>IF([1]!TbRegistroSaídas[[#This Row],[Data do Caixa Previsto]]="",0,YEAR([1]!TbRegistroSaídas[[#This Row],[Data do Caixa Previsto]]))</f>
        <v>2018</v>
      </c>
      <c r="O11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15" spans="2:15" x14ac:dyDescent="0.25">
      <c r="B115" s="11">
        <v>43290.700268540626</v>
      </c>
      <c r="C115" s="11">
        <v>43283</v>
      </c>
      <c r="D115" s="11">
        <v>43290.700268540626</v>
      </c>
      <c r="E115" t="s">
        <v>36</v>
      </c>
      <c r="F115" t="s">
        <v>35</v>
      </c>
      <c r="G115" t="s">
        <v>395</v>
      </c>
      <c r="H115" s="114">
        <v>2186</v>
      </c>
      <c r="I115">
        <f>IF([1]!TbRegistroSaídas[[#This Row],[Data do Caixa Realizado]]="",0,MONTH([1]!TbRegistroSaídas[[#This Row],[Data do Caixa Realizado]]))</f>
        <v>7</v>
      </c>
      <c r="J115">
        <f>IF([1]!TbRegistroSaídas[[#This Row],[Data do Caixa Realizado]]="",0,YEAR([1]!TbRegistroSaídas[[#This Row],[Data do Caixa Realizado]]))</f>
        <v>2018</v>
      </c>
      <c r="K115">
        <f>IF([1]!TbRegistroSaídas[[#This Row],[Data da Competência]]="",0,MONTH([1]!TbRegistroSaídas[[#This Row],[Data da Competência]]))</f>
        <v>7</v>
      </c>
      <c r="L115">
        <f>IF([1]!TbRegistroSaídas[[#This Row],[Data da Competência]]="",0,YEAR([1]!TbRegistroSaídas[[#This Row],[Data da Competência]]))</f>
        <v>2018</v>
      </c>
      <c r="M115">
        <f>IF([1]!TbRegistroSaídas[[#This Row],[Data do Caixa Previsto]]="",0,MONTH([1]!TbRegistroSaídas[[#This Row],[Data do Caixa Previsto]]))</f>
        <v>7</v>
      </c>
      <c r="N115">
        <f>IF([1]!TbRegistroSaídas[[#This Row],[Data do Caixa Previsto]]="",0,YEAR([1]!TbRegistroSaídas[[#This Row],[Data do Caixa Previsto]]))</f>
        <v>2018</v>
      </c>
      <c r="O11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16" spans="2:15" x14ac:dyDescent="0.25">
      <c r="B116" s="11" t="s">
        <v>68</v>
      </c>
      <c r="C116" s="11">
        <v>43284</v>
      </c>
      <c r="D116" s="11">
        <v>43305.188654160578</v>
      </c>
      <c r="E116" t="s">
        <v>36</v>
      </c>
      <c r="F116" t="s">
        <v>32</v>
      </c>
      <c r="G116" t="s">
        <v>396</v>
      </c>
      <c r="H116" s="114">
        <v>3411</v>
      </c>
      <c r="I116">
        <f>IF([1]!TbRegistroSaídas[[#This Row],[Data do Caixa Realizado]]="",0,MONTH([1]!TbRegistroSaídas[[#This Row],[Data do Caixa Realizado]]))</f>
        <v>0</v>
      </c>
      <c r="J116">
        <f>IF([1]!TbRegistroSaídas[[#This Row],[Data do Caixa Realizado]]="",0,YEAR([1]!TbRegistroSaídas[[#This Row],[Data do Caixa Realizado]]))</f>
        <v>0</v>
      </c>
      <c r="K116">
        <f>IF([1]!TbRegistroSaídas[[#This Row],[Data da Competência]]="",0,MONTH([1]!TbRegistroSaídas[[#This Row],[Data da Competência]]))</f>
        <v>7</v>
      </c>
      <c r="L116">
        <f>IF([1]!TbRegistroSaídas[[#This Row],[Data da Competência]]="",0,YEAR([1]!TbRegistroSaídas[[#This Row],[Data da Competência]]))</f>
        <v>2018</v>
      </c>
      <c r="M116">
        <f>IF([1]!TbRegistroSaídas[[#This Row],[Data do Caixa Previsto]]="",0,MONTH([1]!TbRegistroSaídas[[#This Row],[Data do Caixa Previsto]]))</f>
        <v>7</v>
      </c>
      <c r="N116">
        <f>IF([1]!TbRegistroSaídas[[#This Row],[Data do Caixa Previsto]]="",0,YEAR([1]!TbRegistroSaídas[[#This Row],[Data do Caixa Previsto]]))</f>
        <v>2018</v>
      </c>
      <c r="O11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2047.8113458394218</v>
      </c>
    </row>
    <row r="117" spans="2:15" x14ac:dyDescent="0.25">
      <c r="B117" s="11">
        <v>43305.434626119764</v>
      </c>
      <c r="C117" s="11">
        <v>43289</v>
      </c>
      <c r="D117" s="11">
        <v>43305.434626119764</v>
      </c>
      <c r="E117" t="s">
        <v>36</v>
      </c>
      <c r="F117" t="s">
        <v>32</v>
      </c>
      <c r="G117" t="s">
        <v>397</v>
      </c>
      <c r="H117" s="114">
        <v>2524</v>
      </c>
      <c r="I117">
        <f>IF([1]!TbRegistroSaídas[[#This Row],[Data do Caixa Realizado]]="",0,MONTH([1]!TbRegistroSaídas[[#This Row],[Data do Caixa Realizado]]))</f>
        <v>7</v>
      </c>
      <c r="J117">
        <f>IF([1]!TbRegistroSaídas[[#This Row],[Data do Caixa Realizado]]="",0,YEAR([1]!TbRegistroSaídas[[#This Row],[Data do Caixa Realizado]]))</f>
        <v>2018</v>
      </c>
      <c r="K117">
        <f>IF([1]!TbRegistroSaídas[[#This Row],[Data da Competência]]="",0,MONTH([1]!TbRegistroSaídas[[#This Row],[Data da Competência]]))</f>
        <v>7</v>
      </c>
      <c r="L117">
        <f>IF([1]!TbRegistroSaídas[[#This Row],[Data da Competência]]="",0,YEAR([1]!TbRegistroSaídas[[#This Row],[Data da Competência]]))</f>
        <v>2018</v>
      </c>
      <c r="M117">
        <f>IF([1]!TbRegistroSaídas[[#This Row],[Data do Caixa Previsto]]="",0,MONTH([1]!TbRegistroSaídas[[#This Row],[Data do Caixa Previsto]]))</f>
        <v>7</v>
      </c>
      <c r="N117">
        <f>IF([1]!TbRegistroSaídas[[#This Row],[Data do Caixa Previsto]]="",0,YEAR([1]!TbRegistroSaídas[[#This Row],[Data do Caixa Previsto]]))</f>
        <v>2018</v>
      </c>
      <c r="O11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18" spans="2:15" x14ac:dyDescent="0.25">
      <c r="B118" s="11">
        <v>43313.176696691356</v>
      </c>
      <c r="C118" s="11">
        <v>43291</v>
      </c>
      <c r="D118" s="11">
        <v>43313.176696691356</v>
      </c>
      <c r="E118" t="s">
        <v>36</v>
      </c>
      <c r="F118" t="s">
        <v>35</v>
      </c>
      <c r="G118" t="s">
        <v>398</v>
      </c>
      <c r="H118" s="114">
        <v>1709</v>
      </c>
      <c r="I118">
        <f>IF([1]!TbRegistroSaídas[[#This Row],[Data do Caixa Realizado]]="",0,MONTH([1]!TbRegistroSaídas[[#This Row],[Data do Caixa Realizado]]))</f>
        <v>8</v>
      </c>
      <c r="J118">
        <f>IF([1]!TbRegistroSaídas[[#This Row],[Data do Caixa Realizado]]="",0,YEAR([1]!TbRegistroSaídas[[#This Row],[Data do Caixa Realizado]]))</f>
        <v>2018</v>
      </c>
      <c r="K118">
        <f>IF([1]!TbRegistroSaídas[[#This Row],[Data da Competência]]="",0,MONTH([1]!TbRegistroSaídas[[#This Row],[Data da Competência]]))</f>
        <v>7</v>
      </c>
      <c r="L118">
        <f>IF([1]!TbRegistroSaídas[[#This Row],[Data da Competência]]="",0,YEAR([1]!TbRegistroSaídas[[#This Row],[Data da Competência]]))</f>
        <v>2018</v>
      </c>
      <c r="M118">
        <f>IF([1]!TbRegistroSaídas[[#This Row],[Data do Caixa Previsto]]="",0,MONTH([1]!TbRegistroSaídas[[#This Row],[Data do Caixa Previsto]]))</f>
        <v>8</v>
      </c>
      <c r="N118">
        <f>IF([1]!TbRegistroSaídas[[#This Row],[Data do Caixa Previsto]]="",0,YEAR([1]!TbRegistroSaídas[[#This Row],[Data do Caixa Previsto]]))</f>
        <v>2018</v>
      </c>
      <c r="O11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19" spans="2:15" x14ac:dyDescent="0.25">
      <c r="B119" s="11">
        <v>43296</v>
      </c>
      <c r="C119" s="11">
        <v>43296</v>
      </c>
      <c r="D119" s="11">
        <v>43296</v>
      </c>
      <c r="E119" t="s">
        <v>36</v>
      </c>
      <c r="F119" t="s">
        <v>43</v>
      </c>
      <c r="G119" t="s">
        <v>399</v>
      </c>
      <c r="H119" s="114">
        <v>3181</v>
      </c>
      <c r="I119">
        <f>IF([1]!TbRegistroSaídas[[#This Row],[Data do Caixa Realizado]]="",0,MONTH([1]!TbRegistroSaídas[[#This Row],[Data do Caixa Realizado]]))</f>
        <v>7</v>
      </c>
      <c r="J119">
        <f>IF([1]!TbRegistroSaídas[[#This Row],[Data do Caixa Realizado]]="",0,YEAR([1]!TbRegistroSaídas[[#This Row],[Data do Caixa Realizado]]))</f>
        <v>2018</v>
      </c>
      <c r="K119">
        <f>IF([1]!TbRegistroSaídas[[#This Row],[Data da Competência]]="",0,MONTH([1]!TbRegistroSaídas[[#This Row],[Data da Competência]]))</f>
        <v>7</v>
      </c>
      <c r="L119">
        <f>IF([1]!TbRegistroSaídas[[#This Row],[Data da Competência]]="",0,YEAR([1]!TbRegistroSaídas[[#This Row],[Data da Competência]]))</f>
        <v>2018</v>
      </c>
      <c r="M119">
        <f>IF([1]!TbRegistroSaídas[[#This Row],[Data do Caixa Previsto]]="",0,MONTH([1]!TbRegistroSaídas[[#This Row],[Data do Caixa Previsto]]))</f>
        <v>7</v>
      </c>
      <c r="N119">
        <f>IF([1]!TbRegistroSaídas[[#This Row],[Data do Caixa Previsto]]="",0,YEAR([1]!TbRegistroSaídas[[#This Row],[Data do Caixa Previsto]]))</f>
        <v>2018</v>
      </c>
      <c r="O11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20" spans="2:15" x14ac:dyDescent="0.25">
      <c r="B120" s="11">
        <v>43350.047656635885</v>
      </c>
      <c r="C120" s="11">
        <v>43297</v>
      </c>
      <c r="D120" s="11">
        <v>43297</v>
      </c>
      <c r="E120" t="s">
        <v>36</v>
      </c>
      <c r="F120" t="s">
        <v>33</v>
      </c>
      <c r="G120" t="s">
        <v>400</v>
      </c>
      <c r="H120" s="114">
        <v>1108</v>
      </c>
      <c r="I120">
        <f>IF([1]!TbRegistroSaídas[[#This Row],[Data do Caixa Realizado]]="",0,MONTH([1]!TbRegistroSaídas[[#This Row],[Data do Caixa Realizado]]))</f>
        <v>9</v>
      </c>
      <c r="J120">
        <f>IF([1]!TbRegistroSaídas[[#This Row],[Data do Caixa Realizado]]="",0,YEAR([1]!TbRegistroSaídas[[#This Row],[Data do Caixa Realizado]]))</f>
        <v>2018</v>
      </c>
      <c r="K120">
        <f>IF([1]!TbRegistroSaídas[[#This Row],[Data da Competência]]="",0,MONTH([1]!TbRegistroSaídas[[#This Row],[Data da Competência]]))</f>
        <v>7</v>
      </c>
      <c r="L120">
        <f>IF([1]!TbRegistroSaídas[[#This Row],[Data da Competência]]="",0,YEAR([1]!TbRegistroSaídas[[#This Row],[Data da Competência]]))</f>
        <v>2018</v>
      </c>
      <c r="M120">
        <f>IF([1]!TbRegistroSaídas[[#This Row],[Data do Caixa Previsto]]="",0,MONTH([1]!TbRegistroSaídas[[#This Row],[Data do Caixa Previsto]]))</f>
        <v>7</v>
      </c>
      <c r="N120">
        <f>IF([1]!TbRegistroSaídas[[#This Row],[Data do Caixa Previsto]]="",0,YEAR([1]!TbRegistroSaídas[[#This Row],[Data do Caixa Previsto]]))</f>
        <v>2018</v>
      </c>
      <c r="O12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53.047656635884778</v>
      </c>
    </row>
    <row r="121" spans="2:15" x14ac:dyDescent="0.25">
      <c r="B121" s="11" t="s">
        <v>68</v>
      </c>
      <c r="C121" s="11">
        <v>43298</v>
      </c>
      <c r="D121" s="11">
        <v>43298</v>
      </c>
      <c r="E121" t="s">
        <v>36</v>
      </c>
      <c r="F121" t="s">
        <v>43</v>
      </c>
      <c r="G121" t="s">
        <v>401</v>
      </c>
      <c r="H121" s="114">
        <v>2777</v>
      </c>
      <c r="I121">
        <f>IF([1]!TbRegistroSaídas[[#This Row],[Data do Caixa Realizado]]="",0,MONTH([1]!TbRegistroSaídas[[#This Row],[Data do Caixa Realizado]]))</f>
        <v>0</v>
      </c>
      <c r="J121">
        <f>IF([1]!TbRegistroSaídas[[#This Row],[Data do Caixa Realizado]]="",0,YEAR([1]!TbRegistroSaídas[[#This Row],[Data do Caixa Realizado]]))</f>
        <v>0</v>
      </c>
      <c r="K121">
        <f>IF([1]!TbRegistroSaídas[[#This Row],[Data da Competência]]="",0,MONTH([1]!TbRegistroSaídas[[#This Row],[Data da Competência]]))</f>
        <v>7</v>
      </c>
      <c r="L121">
        <f>IF([1]!TbRegistroSaídas[[#This Row],[Data da Competência]]="",0,YEAR([1]!TbRegistroSaídas[[#This Row],[Data da Competência]]))</f>
        <v>2018</v>
      </c>
      <c r="M121">
        <f>IF([1]!TbRegistroSaídas[[#This Row],[Data do Caixa Previsto]]="",0,MONTH([1]!TbRegistroSaídas[[#This Row],[Data do Caixa Previsto]]))</f>
        <v>7</v>
      </c>
      <c r="N121">
        <f>IF([1]!TbRegistroSaídas[[#This Row],[Data do Caixa Previsto]]="",0,YEAR([1]!TbRegistroSaídas[[#This Row],[Data do Caixa Previsto]]))</f>
        <v>2018</v>
      </c>
      <c r="O12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2055</v>
      </c>
    </row>
    <row r="122" spans="2:15" x14ac:dyDescent="0.25">
      <c r="B122" s="11">
        <v>43357.040894197533</v>
      </c>
      <c r="C122" s="11">
        <v>43300</v>
      </c>
      <c r="D122" s="11">
        <v>43357.040894197533</v>
      </c>
      <c r="E122" t="s">
        <v>36</v>
      </c>
      <c r="F122" t="s">
        <v>35</v>
      </c>
      <c r="G122" t="s">
        <v>402</v>
      </c>
      <c r="H122" s="114">
        <v>3793</v>
      </c>
      <c r="I122">
        <f>IF([1]!TbRegistroSaídas[[#This Row],[Data do Caixa Realizado]]="",0,MONTH([1]!TbRegistroSaídas[[#This Row],[Data do Caixa Realizado]]))</f>
        <v>9</v>
      </c>
      <c r="J122">
        <f>IF([1]!TbRegistroSaídas[[#This Row],[Data do Caixa Realizado]]="",0,YEAR([1]!TbRegistroSaídas[[#This Row],[Data do Caixa Realizado]]))</f>
        <v>2018</v>
      </c>
      <c r="K122">
        <f>IF([1]!TbRegistroSaídas[[#This Row],[Data da Competência]]="",0,MONTH([1]!TbRegistroSaídas[[#This Row],[Data da Competência]]))</f>
        <v>7</v>
      </c>
      <c r="L122">
        <f>IF([1]!TbRegistroSaídas[[#This Row],[Data da Competência]]="",0,YEAR([1]!TbRegistroSaídas[[#This Row],[Data da Competência]]))</f>
        <v>2018</v>
      </c>
      <c r="M122">
        <f>IF([1]!TbRegistroSaídas[[#This Row],[Data do Caixa Previsto]]="",0,MONTH([1]!TbRegistroSaídas[[#This Row],[Data do Caixa Previsto]]))</f>
        <v>9</v>
      </c>
      <c r="N122">
        <f>IF([1]!TbRegistroSaídas[[#This Row],[Data do Caixa Previsto]]="",0,YEAR([1]!TbRegistroSaídas[[#This Row],[Data do Caixa Previsto]]))</f>
        <v>2018</v>
      </c>
      <c r="O12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23" spans="2:15" x14ac:dyDescent="0.25">
      <c r="B123" s="11">
        <v>43324.888843781351</v>
      </c>
      <c r="C123" s="11">
        <v>43302</v>
      </c>
      <c r="D123" s="11">
        <v>43324.888843781351</v>
      </c>
      <c r="E123" t="s">
        <v>36</v>
      </c>
      <c r="F123" t="s">
        <v>32</v>
      </c>
      <c r="G123" t="s">
        <v>403</v>
      </c>
      <c r="H123" s="114">
        <v>4217</v>
      </c>
      <c r="I123">
        <f>IF([1]!TbRegistroSaídas[[#This Row],[Data do Caixa Realizado]]="",0,MONTH([1]!TbRegistroSaídas[[#This Row],[Data do Caixa Realizado]]))</f>
        <v>8</v>
      </c>
      <c r="J123">
        <f>IF([1]!TbRegistroSaídas[[#This Row],[Data do Caixa Realizado]]="",0,YEAR([1]!TbRegistroSaídas[[#This Row],[Data do Caixa Realizado]]))</f>
        <v>2018</v>
      </c>
      <c r="K123">
        <f>IF([1]!TbRegistroSaídas[[#This Row],[Data da Competência]]="",0,MONTH([1]!TbRegistroSaídas[[#This Row],[Data da Competência]]))</f>
        <v>7</v>
      </c>
      <c r="L123">
        <f>IF([1]!TbRegistroSaídas[[#This Row],[Data da Competência]]="",0,YEAR([1]!TbRegistroSaídas[[#This Row],[Data da Competência]]))</f>
        <v>2018</v>
      </c>
      <c r="M123">
        <f>IF([1]!TbRegistroSaídas[[#This Row],[Data do Caixa Previsto]]="",0,MONTH([1]!TbRegistroSaídas[[#This Row],[Data do Caixa Previsto]]))</f>
        <v>8</v>
      </c>
      <c r="N123">
        <f>IF([1]!TbRegistroSaídas[[#This Row],[Data do Caixa Previsto]]="",0,YEAR([1]!TbRegistroSaídas[[#This Row],[Data do Caixa Previsto]]))</f>
        <v>2018</v>
      </c>
      <c r="O12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24" spans="2:15" x14ac:dyDescent="0.25">
      <c r="B124" s="11">
        <v>43309</v>
      </c>
      <c r="C124" s="11">
        <v>43309</v>
      </c>
      <c r="D124" s="11">
        <v>43309</v>
      </c>
      <c r="E124" t="s">
        <v>36</v>
      </c>
      <c r="F124" t="s">
        <v>43</v>
      </c>
      <c r="G124" t="s">
        <v>404</v>
      </c>
      <c r="H124" s="114">
        <v>4850</v>
      </c>
      <c r="I124">
        <f>IF([1]!TbRegistroSaídas[[#This Row],[Data do Caixa Realizado]]="",0,MONTH([1]!TbRegistroSaídas[[#This Row],[Data do Caixa Realizado]]))</f>
        <v>7</v>
      </c>
      <c r="J124">
        <f>IF([1]!TbRegistroSaídas[[#This Row],[Data do Caixa Realizado]]="",0,YEAR([1]!TbRegistroSaídas[[#This Row],[Data do Caixa Realizado]]))</f>
        <v>2018</v>
      </c>
      <c r="K124">
        <f>IF([1]!TbRegistroSaídas[[#This Row],[Data da Competência]]="",0,MONTH([1]!TbRegistroSaídas[[#This Row],[Data da Competência]]))</f>
        <v>7</v>
      </c>
      <c r="L124">
        <f>IF([1]!TbRegistroSaídas[[#This Row],[Data da Competência]]="",0,YEAR([1]!TbRegistroSaídas[[#This Row],[Data da Competência]]))</f>
        <v>2018</v>
      </c>
      <c r="M124">
        <f>IF([1]!TbRegistroSaídas[[#This Row],[Data do Caixa Previsto]]="",0,MONTH([1]!TbRegistroSaídas[[#This Row],[Data do Caixa Previsto]]))</f>
        <v>7</v>
      </c>
      <c r="N124">
        <f>IF([1]!TbRegistroSaídas[[#This Row],[Data do Caixa Previsto]]="",0,YEAR([1]!TbRegistroSaídas[[#This Row],[Data do Caixa Previsto]]))</f>
        <v>2018</v>
      </c>
      <c r="O12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25" spans="2:15" x14ac:dyDescent="0.25">
      <c r="B125" s="11">
        <v>43311</v>
      </c>
      <c r="C125" s="11">
        <v>43311</v>
      </c>
      <c r="D125" s="11">
        <v>43311</v>
      </c>
      <c r="E125" t="s">
        <v>36</v>
      </c>
      <c r="F125" t="s">
        <v>32</v>
      </c>
      <c r="G125" t="s">
        <v>405</v>
      </c>
      <c r="H125" s="114">
        <v>4309</v>
      </c>
      <c r="I125">
        <f>IF([1]!TbRegistroSaídas[[#This Row],[Data do Caixa Realizado]]="",0,MONTH([1]!TbRegistroSaídas[[#This Row],[Data do Caixa Realizado]]))</f>
        <v>7</v>
      </c>
      <c r="J125">
        <f>IF([1]!TbRegistroSaídas[[#This Row],[Data do Caixa Realizado]]="",0,YEAR([1]!TbRegistroSaídas[[#This Row],[Data do Caixa Realizado]]))</f>
        <v>2018</v>
      </c>
      <c r="K125">
        <f>IF([1]!TbRegistroSaídas[[#This Row],[Data da Competência]]="",0,MONTH([1]!TbRegistroSaídas[[#This Row],[Data da Competência]]))</f>
        <v>7</v>
      </c>
      <c r="L125">
        <f>IF([1]!TbRegistroSaídas[[#This Row],[Data da Competência]]="",0,YEAR([1]!TbRegistroSaídas[[#This Row],[Data da Competência]]))</f>
        <v>2018</v>
      </c>
      <c r="M125">
        <f>IF([1]!TbRegistroSaídas[[#This Row],[Data do Caixa Previsto]]="",0,MONTH([1]!TbRegistroSaídas[[#This Row],[Data do Caixa Previsto]]))</f>
        <v>7</v>
      </c>
      <c r="N125">
        <f>IF([1]!TbRegistroSaídas[[#This Row],[Data do Caixa Previsto]]="",0,YEAR([1]!TbRegistroSaídas[[#This Row],[Data do Caixa Previsto]]))</f>
        <v>2018</v>
      </c>
      <c r="O12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26" spans="2:15" x14ac:dyDescent="0.25">
      <c r="B126" s="11">
        <v>43314.576092684139</v>
      </c>
      <c r="C126" s="11">
        <v>43313</v>
      </c>
      <c r="D126" s="11">
        <v>43314.576092684139</v>
      </c>
      <c r="E126" t="s">
        <v>36</v>
      </c>
      <c r="F126" t="s">
        <v>33</v>
      </c>
      <c r="G126" t="s">
        <v>406</v>
      </c>
      <c r="H126" s="114">
        <v>4462</v>
      </c>
      <c r="I126">
        <f>IF([1]!TbRegistroSaídas[[#This Row],[Data do Caixa Realizado]]="",0,MONTH([1]!TbRegistroSaídas[[#This Row],[Data do Caixa Realizado]]))</f>
        <v>8</v>
      </c>
      <c r="J126">
        <f>IF([1]!TbRegistroSaídas[[#This Row],[Data do Caixa Realizado]]="",0,YEAR([1]!TbRegistroSaídas[[#This Row],[Data do Caixa Realizado]]))</f>
        <v>2018</v>
      </c>
      <c r="K126">
        <f>IF([1]!TbRegistroSaídas[[#This Row],[Data da Competência]]="",0,MONTH([1]!TbRegistroSaídas[[#This Row],[Data da Competência]]))</f>
        <v>8</v>
      </c>
      <c r="L126">
        <f>IF([1]!TbRegistroSaídas[[#This Row],[Data da Competência]]="",0,YEAR([1]!TbRegistroSaídas[[#This Row],[Data da Competência]]))</f>
        <v>2018</v>
      </c>
      <c r="M126">
        <f>IF([1]!TbRegistroSaídas[[#This Row],[Data do Caixa Previsto]]="",0,MONTH([1]!TbRegistroSaídas[[#This Row],[Data do Caixa Previsto]]))</f>
        <v>8</v>
      </c>
      <c r="N126">
        <f>IF([1]!TbRegistroSaídas[[#This Row],[Data do Caixa Previsto]]="",0,YEAR([1]!TbRegistroSaídas[[#This Row],[Data do Caixa Previsto]]))</f>
        <v>2018</v>
      </c>
      <c r="O12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27" spans="2:15" x14ac:dyDescent="0.25">
      <c r="B127" s="11">
        <v>43375.491443107414</v>
      </c>
      <c r="C127" s="11">
        <v>43319</v>
      </c>
      <c r="D127" s="11">
        <v>43375.491443107414</v>
      </c>
      <c r="E127" t="s">
        <v>36</v>
      </c>
      <c r="F127" t="s">
        <v>31</v>
      </c>
      <c r="G127" t="s">
        <v>407</v>
      </c>
      <c r="H127" s="114">
        <v>4947</v>
      </c>
      <c r="I127">
        <f>IF([1]!TbRegistroSaídas[[#This Row],[Data do Caixa Realizado]]="",0,MONTH([1]!TbRegistroSaídas[[#This Row],[Data do Caixa Realizado]]))</f>
        <v>10</v>
      </c>
      <c r="J127">
        <f>IF([1]!TbRegistroSaídas[[#This Row],[Data do Caixa Realizado]]="",0,YEAR([1]!TbRegistroSaídas[[#This Row],[Data do Caixa Realizado]]))</f>
        <v>2018</v>
      </c>
      <c r="K127">
        <f>IF([1]!TbRegistroSaídas[[#This Row],[Data da Competência]]="",0,MONTH([1]!TbRegistroSaídas[[#This Row],[Data da Competência]]))</f>
        <v>8</v>
      </c>
      <c r="L127">
        <f>IF([1]!TbRegistroSaídas[[#This Row],[Data da Competência]]="",0,YEAR([1]!TbRegistroSaídas[[#This Row],[Data da Competência]]))</f>
        <v>2018</v>
      </c>
      <c r="M127">
        <f>IF([1]!TbRegistroSaídas[[#This Row],[Data do Caixa Previsto]]="",0,MONTH([1]!TbRegistroSaídas[[#This Row],[Data do Caixa Previsto]]))</f>
        <v>10</v>
      </c>
      <c r="N127">
        <f>IF([1]!TbRegistroSaídas[[#This Row],[Data do Caixa Previsto]]="",0,YEAR([1]!TbRegistroSaídas[[#This Row],[Data do Caixa Previsto]]))</f>
        <v>2018</v>
      </c>
      <c r="O12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28" spans="2:15" x14ac:dyDescent="0.25">
      <c r="B128" s="11">
        <v>43368.704862392784</v>
      </c>
      <c r="C128" s="11">
        <v>43322</v>
      </c>
      <c r="D128" s="11">
        <v>43368.704862392784</v>
      </c>
      <c r="E128" t="s">
        <v>36</v>
      </c>
      <c r="F128" t="s">
        <v>35</v>
      </c>
      <c r="G128" t="s">
        <v>408</v>
      </c>
      <c r="H128" s="114">
        <v>902</v>
      </c>
      <c r="I128">
        <f>IF([1]!TbRegistroSaídas[[#This Row],[Data do Caixa Realizado]]="",0,MONTH([1]!TbRegistroSaídas[[#This Row],[Data do Caixa Realizado]]))</f>
        <v>9</v>
      </c>
      <c r="J128">
        <f>IF([1]!TbRegistroSaídas[[#This Row],[Data do Caixa Realizado]]="",0,YEAR([1]!TbRegistroSaídas[[#This Row],[Data do Caixa Realizado]]))</f>
        <v>2018</v>
      </c>
      <c r="K128">
        <f>IF([1]!TbRegistroSaídas[[#This Row],[Data da Competência]]="",0,MONTH([1]!TbRegistroSaídas[[#This Row],[Data da Competência]]))</f>
        <v>8</v>
      </c>
      <c r="L128">
        <f>IF([1]!TbRegistroSaídas[[#This Row],[Data da Competência]]="",0,YEAR([1]!TbRegistroSaídas[[#This Row],[Data da Competência]]))</f>
        <v>2018</v>
      </c>
      <c r="M128">
        <f>IF([1]!TbRegistroSaídas[[#This Row],[Data do Caixa Previsto]]="",0,MONTH([1]!TbRegistroSaídas[[#This Row],[Data do Caixa Previsto]]))</f>
        <v>9</v>
      </c>
      <c r="N128">
        <f>IF([1]!TbRegistroSaídas[[#This Row],[Data do Caixa Previsto]]="",0,YEAR([1]!TbRegistroSaídas[[#This Row],[Data do Caixa Previsto]]))</f>
        <v>2018</v>
      </c>
      <c r="O12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29" spans="2:15" x14ac:dyDescent="0.25">
      <c r="B129" s="11">
        <v>43366.872016051886</v>
      </c>
      <c r="C129" s="11">
        <v>43324</v>
      </c>
      <c r="D129" s="11">
        <v>43366.872016051886</v>
      </c>
      <c r="E129" t="s">
        <v>36</v>
      </c>
      <c r="F129" t="s">
        <v>31</v>
      </c>
      <c r="G129" t="s">
        <v>409</v>
      </c>
      <c r="H129" s="114">
        <v>432</v>
      </c>
      <c r="I129">
        <f>IF([1]!TbRegistroSaídas[[#This Row],[Data do Caixa Realizado]]="",0,MONTH([1]!TbRegistroSaídas[[#This Row],[Data do Caixa Realizado]]))</f>
        <v>9</v>
      </c>
      <c r="J129">
        <f>IF([1]!TbRegistroSaídas[[#This Row],[Data do Caixa Realizado]]="",0,YEAR([1]!TbRegistroSaídas[[#This Row],[Data do Caixa Realizado]]))</f>
        <v>2018</v>
      </c>
      <c r="K129">
        <f>IF([1]!TbRegistroSaídas[[#This Row],[Data da Competência]]="",0,MONTH([1]!TbRegistroSaídas[[#This Row],[Data da Competência]]))</f>
        <v>8</v>
      </c>
      <c r="L129">
        <f>IF([1]!TbRegistroSaídas[[#This Row],[Data da Competência]]="",0,YEAR([1]!TbRegistroSaídas[[#This Row],[Data da Competência]]))</f>
        <v>2018</v>
      </c>
      <c r="M129">
        <f>IF([1]!TbRegistroSaídas[[#This Row],[Data do Caixa Previsto]]="",0,MONTH([1]!TbRegistroSaídas[[#This Row],[Data do Caixa Previsto]]))</f>
        <v>9</v>
      </c>
      <c r="N129">
        <f>IF([1]!TbRegistroSaídas[[#This Row],[Data do Caixa Previsto]]="",0,YEAR([1]!TbRegistroSaídas[[#This Row],[Data do Caixa Previsto]]))</f>
        <v>2018</v>
      </c>
      <c r="O12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30" spans="2:15" x14ac:dyDescent="0.25">
      <c r="B130" s="11">
        <v>43356.956112414089</v>
      </c>
      <c r="C130" s="11">
        <v>43327</v>
      </c>
      <c r="D130" s="11">
        <v>43356.956112414089</v>
      </c>
      <c r="E130" t="s">
        <v>36</v>
      </c>
      <c r="F130" t="s">
        <v>32</v>
      </c>
      <c r="G130" t="s">
        <v>410</v>
      </c>
      <c r="H130" s="114">
        <v>4084</v>
      </c>
      <c r="I130">
        <f>IF([1]!TbRegistroSaídas[[#This Row],[Data do Caixa Realizado]]="",0,MONTH([1]!TbRegistroSaídas[[#This Row],[Data do Caixa Realizado]]))</f>
        <v>9</v>
      </c>
      <c r="J130">
        <f>IF([1]!TbRegistroSaídas[[#This Row],[Data do Caixa Realizado]]="",0,YEAR([1]!TbRegistroSaídas[[#This Row],[Data do Caixa Realizado]]))</f>
        <v>2018</v>
      </c>
      <c r="K130">
        <f>IF([1]!TbRegistroSaídas[[#This Row],[Data da Competência]]="",0,MONTH([1]!TbRegistroSaídas[[#This Row],[Data da Competência]]))</f>
        <v>8</v>
      </c>
      <c r="L130">
        <f>IF([1]!TbRegistroSaídas[[#This Row],[Data da Competência]]="",0,YEAR([1]!TbRegistroSaídas[[#This Row],[Data da Competência]]))</f>
        <v>2018</v>
      </c>
      <c r="M130">
        <f>IF([1]!TbRegistroSaídas[[#This Row],[Data do Caixa Previsto]]="",0,MONTH([1]!TbRegistroSaídas[[#This Row],[Data do Caixa Previsto]]))</f>
        <v>9</v>
      </c>
      <c r="N130">
        <f>IF([1]!TbRegistroSaídas[[#This Row],[Data do Caixa Previsto]]="",0,YEAR([1]!TbRegistroSaídas[[#This Row],[Data do Caixa Previsto]]))</f>
        <v>2018</v>
      </c>
      <c r="O13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31" spans="2:15" x14ac:dyDescent="0.25">
      <c r="B131" s="11">
        <v>43359.016635810432</v>
      </c>
      <c r="C131" s="11">
        <v>43334</v>
      </c>
      <c r="D131" s="11">
        <v>43359.016635810432</v>
      </c>
      <c r="E131" t="s">
        <v>36</v>
      </c>
      <c r="F131" t="s">
        <v>43</v>
      </c>
      <c r="G131" t="s">
        <v>411</v>
      </c>
      <c r="H131" s="114">
        <v>1054</v>
      </c>
      <c r="I131">
        <f>IF([1]!TbRegistroSaídas[[#This Row],[Data do Caixa Realizado]]="",0,MONTH([1]!TbRegistroSaídas[[#This Row],[Data do Caixa Realizado]]))</f>
        <v>9</v>
      </c>
      <c r="J131">
        <f>IF([1]!TbRegistroSaídas[[#This Row],[Data do Caixa Realizado]]="",0,YEAR([1]!TbRegistroSaídas[[#This Row],[Data do Caixa Realizado]]))</f>
        <v>2018</v>
      </c>
      <c r="K131">
        <f>IF([1]!TbRegistroSaídas[[#This Row],[Data da Competência]]="",0,MONTH([1]!TbRegistroSaídas[[#This Row],[Data da Competência]]))</f>
        <v>8</v>
      </c>
      <c r="L131">
        <f>IF([1]!TbRegistroSaídas[[#This Row],[Data da Competência]]="",0,YEAR([1]!TbRegistroSaídas[[#This Row],[Data da Competência]]))</f>
        <v>2018</v>
      </c>
      <c r="M131">
        <f>IF([1]!TbRegistroSaídas[[#This Row],[Data do Caixa Previsto]]="",0,MONTH([1]!TbRegistroSaídas[[#This Row],[Data do Caixa Previsto]]))</f>
        <v>9</v>
      </c>
      <c r="N131">
        <f>IF([1]!TbRegistroSaídas[[#This Row],[Data do Caixa Previsto]]="",0,YEAR([1]!TbRegistroSaídas[[#This Row],[Data do Caixa Previsto]]))</f>
        <v>2018</v>
      </c>
      <c r="O13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32" spans="2:15" x14ac:dyDescent="0.25">
      <c r="B132" s="11">
        <v>43352.077398814596</v>
      </c>
      <c r="C132" s="11">
        <v>43335</v>
      </c>
      <c r="D132" s="11">
        <v>43352.077398814596</v>
      </c>
      <c r="E132" t="s">
        <v>36</v>
      </c>
      <c r="F132" t="s">
        <v>31</v>
      </c>
      <c r="G132" t="s">
        <v>412</v>
      </c>
      <c r="H132" s="114">
        <v>4608</v>
      </c>
      <c r="I132">
        <f>IF([1]!TbRegistroSaídas[[#This Row],[Data do Caixa Realizado]]="",0,MONTH([1]!TbRegistroSaídas[[#This Row],[Data do Caixa Realizado]]))</f>
        <v>9</v>
      </c>
      <c r="J132">
        <f>IF([1]!TbRegistroSaídas[[#This Row],[Data do Caixa Realizado]]="",0,YEAR([1]!TbRegistroSaídas[[#This Row],[Data do Caixa Realizado]]))</f>
        <v>2018</v>
      </c>
      <c r="K132">
        <f>IF([1]!TbRegistroSaídas[[#This Row],[Data da Competência]]="",0,MONTH([1]!TbRegistroSaídas[[#This Row],[Data da Competência]]))</f>
        <v>8</v>
      </c>
      <c r="L132">
        <f>IF([1]!TbRegistroSaídas[[#This Row],[Data da Competência]]="",0,YEAR([1]!TbRegistroSaídas[[#This Row],[Data da Competência]]))</f>
        <v>2018</v>
      </c>
      <c r="M132">
        <f>IF([1]!TbRegistroSaídas[[#This Row],[Data do Caixa Previsto]]="",0,MONTH([1]!TbRegistroSaídas[[#This Row],[Data do Caixa Previsto]]))</f>
        <v>9</v>
      </c>
      <c r="N132">
        <f>IF([1]!TbRegistroSaídas[[#This Row],[Data do Caixa Previsto]]="",0,YEAR([1]!TbRegistroSaídas[[#This Row],[Data do Caixa Previsto]]))</f>
        <v>2018</v>
      </c>
      <c r="O13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33" spans="2:15" x14ac:dyDescent="0.25">
      <c r="B133" s="11">
        <v>43340</v>
      </c>
      <c r="C133" s="11">
        <v>43340</v>
      </c>
      <c r="D133" s="11">
        <v>43340</v>
      </c>
      <c r="E133" t="s">
        <v>36</v>
      </c>
      <c r="F133" t="s">
        <v>35</v>
      </c>
      <c r="G133" t="s">
        <v>413</v>
      </c>
      <c r="H133" s="114">
        <v>1238</v>
      </c>
      <c r="I133">
        <f>IF([1]!TbRegistroSaídas[[#This Row],[Data do Caixa Realizado]]="",0,MONTH([1]!TbRegistroSaídas[[#This Row],[Data do Caixa Realizado]]))</f>
        <v>8</v>
      </c>
      <c r="J133">
        <f>IF([1]!TbRegistroSaídas[[#This Row],[Data do Caixa Realizado]]="",0,YEAR([1]!TbRegistroSaídas[[#This Row],[Data do Caixa Realizado]]))</f>
        <v>2018</v>
      </c>
      <c r="K133">
        <f>IF([1]!TbRegistroSaídas[[#This Row],[Data da Competência]]="",0,MONTH([1]!TbRegistroSaídas[[#This Row],[Data da Competência]]))</f>
        <v>8</v>
      </c>
      <c r="L133">
        <f>IF([1]!TbRegistroSaídas[[#This Row],[Data da Competência]]="",0,YEAR([1]!TbRegistroSaídas[[#This Row],[Data da Competência]]))</f>
        <v>2018</v>
      </c>
      <c r="M133">
        <f>IF([1]!TbRegistroSaídas[[#This Row],[Data do Caixa Previsto]]="",0,MONTH([1]!TbRegistroSaídas[[#This Row],[Data do Caixa Previsto]]))</f>
        <v>8</v>
      </c>
      <c r="N133">
        <f>IF([1]!TbRegistroSaídas[[#This Row],[Data do Caixa Previsto]]="",0,YEAR([1]!TbRegistroSaídas[[#This Row],[Data do Caixa Previsto]]))</f>
        <v>2018</v>
      </c>
      <c r="O13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34" spans="2:15" x14ac:dyDescent="0.25">
      <c r="B134" s="11">
        <v>43370.729955212279</v>
      </c>
      <c r="C134" s="11">
        <v>43346</v>
      </c>
      <c r="D134" s="11">
        <v>43370.729955212279</v>
      </c>
      <c r="E134" t="s">
        <v>36</v>
      </c>
      <c r="F134" t="s">
        <v>43</v>
      </c>
      <c r="G134" t="s">
        <v>414</v>
      </c>
      <c r="H134" s="114">
        <v>1342</v>
      </c>
      <c r="I134">
        <f>IF([1]!TbRegistroSaídas[[#This Row],[Data do Caixa Realizado]]="",0,MONTH([1]!TbRegistroSaídas[[#This Row],[Data do Caixa Realizado]]))</f>
        <v>9</v>
      </c>
      <c r="J134">
        <f>IF([1]!TbRegistroSaídas[[#This Row],[Data do Caixa Realizado]]="",0,YEAR([1]!TbRegistroSaídas[[#This Row],[Data do Caixa Realizado]]))</f>
        <v>2018</v>
      </c>
      <c r="K134">
        <f>IF([1]!TbRegistroSaídas[[#This Row],[Data da Competência]]="",0,MONTH([1]!TbRegistroSaídas[[#This Row],[Data da Competência]]))</f>
        <v>9</v>
      </c>
      <c r="L134">
        <f>IF([1]!TbRegistroSaídas[[#This Row],[Data da Competência]]="",0,YEAR([1]!TbRegistroSaídas[[#This Row],[Data da Competência]]))</f>
        <v>2018</v>
      </c>
      <c r="M134">
        <f>IF([1]!TbRegistroSaídas[[#This Row],[Data do Caixa Previsto]]="",0,MONTH([1]!TbRegistroSaídas[[#This Row],[Data do Caixa Previsto]]))</f>
        <v>9</v>
      </c>
      <c r="N134">
        <f>IF([1]!TbRegistroSaídas[[#This Row],[Data do Caixa Previsto]]="",0,YEAR([1]!TbRegistroSaídas[[#This Row],[Data do Caixa Previsto]]))</f>
        <v>2018</v>
      </c>
      <c r="O13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35" spans="2:15" x14ac:dyDescent="0.25">
      <c r="B135" s="11">
        <v>43402.779511524925</v>
      </c>
      <c r="C135" s="11">
        <v>43350</v>
      </c>
      <c r="D135" s="11">
        <v>43402.779511524925</v>
      </c>
      <c r="E135" t="s">
        <v>36</v>
      </c>
      <c r="F135" t="s">
        <v>31</v>
      </c>
      <c r="G135" t="s">
        <v>415</v>
      </c>
      <c r="H135" s="114">
        <v>2936</v>
      </c>
      <c r="I135">
        <f>IF([1]!TbRegistroSaídas[[#This Row],[Data do Caixa Realizado]]="",0,MONTH([1]!TbRegistroSaídas[[#This Row],[Data do Caixa Realizado]]))</f>
        <v>10</v>
      </c>
      <c r="J135">
        <f>IF([1]!TbRegistroSaídas[[#This Row],[Data do Caixa Realizado]]="",0,YEAR([1]!TbRegistroSaídas[[#This Row],[Data do Caixa Realizado]]))</f>
        <v>2018</v>
      </c>
      <c r="K135">
        <f>IF([1]!TbRegistroSaídas[[#This Row],[Data da Competência]]="",0,MONTH([1]!TbRegistroSaídas[[#This Row],[Data da Competência]]))</f>
        <v>9</v>
      </c>
      <c r="L135">
        <f>IF([1]!TbRegistroSaídas[[#This Row],[Data da Competência]]="",0,YEAR([1]!TbRegistroSaídas[[#This Row],[Data da Competência]]))</f>
        <v>2018</v>
      </c>
      <c r="M135">
        <f>IF([1]!TbRegistroSaídas[[#This Row],[Data do Caixa Previsto]]="",0,MONTH([1]!TbRegistroSaídas[[#This Row],[Data do Caixa Previsto]]))</f>
        <v>10</v>
      </c>
      <c r="N135">
        <f>IF([1]!TbRegistroSaídas[[#This Row],[Data do Caixa Previsto]]="",0,YEAR([1]!TbRegistroSaídas[[#This Row],[Data do Caixa Previsto]]))</f>
        <v>2018</v>
      </c>
      <c r="O13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36" spans="2:15" x14ac:dyDescent="0.25">
      <c r="B136" s="11">
        <v>43381.142100455778</v>
      </c>
      <c r="C136" s="11">
        <v>43351</v>
      </c>
      <c r="D136" s="11">
        <v>43381.142100455778</v>
      </c>
      <c r="E136" t="s">
        <v>36</v>
      </c>
      <c r="F136" t="s">
        <v>43</v>
      </c>
      <c r="G136" t="s">
        <v>416</v>
      </c>
      <c r="H136" s="114">
        <v>875</v>
      </c>
      <c r="I136">
        <f>IF([1]!TbRegistroSaídas[[#This Row],[Data do Caixa Realizado]]="",0,MONTH([1]!TbRegistroSaídas[[#This Row],[Data do Caixa Realizado]]))</f>
        <v>10</v>
      </c>
      <c r="J136">
        <f>IF([1]!TbRegistroSaídas[[#This Row],[Data do Caixa Realizado]]="",0,YEAR([1]!TbRegistroSaídas[[#This Row],[Data do Caixa Realizado]]))</f>
        <v>2018</v>
      </c>
      <c r="K136">
        <f>IF([1]!TbRegistroSaídas[[#This Row],[Data da Competência]]="",0,MONTH([1]!TbRegistroSaídas[[#This Row],[Data da Competência]]))</f>
        <v>9</v>
      </c>
      <c r="L136">
        <f>IF([1]!TbRegistroSaídas[[#This Row],[Data da Competência]]="",0,YEAR([1]!TbRegistroSaídas[[#This Row],[Data da Competência]]))</f>
        <v>2018</v>
      </c>
      <c r="M136">
        <f>IF([1]!TbRegistroSaídas[[#This Row],[Data do Caixa Previsto]]="",0,MONTH([1]!TbRegistroSaídas[[#This Row],[Data do Caixa Previsto]]))</f>
        <v>10</v>
      </c>
      <c r="N136">
        <f>IF([1]!TbRegistroSaídas[[#This Row],[Data do Caixa Previsto]]="",0,YEAR([1]!TbRegistroSaídas[[#This Row],[Data do Caixa Previsto]]))</f>
        <v>2018</v>
      </c>
      <c r="O13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37" spans="2:15" x14ac:dyDescent="0.25">
      <c r="B137" s="11" t="s">
        <v>68</v>
      </c>
      <c r="C137" s="11">
        <v>43353</v>
      </c>
      <c r="D137" s="11">
        <v>43353</v>
      </c>
      <c r="E137" t="s">
        <v>36</v>
      </c>
      <c r="F137" t="s">
        <v>33</v>
      </c>
      <c r="G137" t="s">
        <v>417</v>
      </c>
      <c r="H137" s="114">
        <v>159</v>
      </c>
      <c r="I137">
        <f>IF([1]!TbRegistroSaídas[[#This Row],[Data do Caixa Realizado]]="",0,MONTH([1]!TbRegistroSaídas[[#This Row],[Data do Caixa Realizado]]))</f>
        <v>0</v>
      </c>
      <c r="J137">
        <f>IF([1]!TbRegistroSaídas[[#This Row],[Data do Caixa Realizado]]="",0,YEAR([1]!TbRegistroSaídas[[#This Row],[Data do Caixa Realizado]]))</f>
        <v>0</v>
      </c>
      <c r="K137">
        <f>IF([1]!TbRegistroSaídas[[#This Row],[Data da Competência]]="",0,MONTH([1]!TbRegistroSaídas[[#This Row],[Data da Competência]]))</f>
        <v>9</v>
      </c>
      <c r="L137">
        <f>IF([1]!TbRegistroSaídas[[#This Row],[Data da Competência]]="",0,YEAR([1]!TbRegistroSaídas[[#This Row],[Data da Competência]]))</f>
        <v>2018</v>
      </c>
      <c r="M137">
        <f>IF([1]!TbRegistroSaídas[[#This Row],[Data do Caixa Previsto]]="",0,MONTH([1]!TbRegistroSaídas[[#This Row],[Data do Caixa Previsto]]))</f>
        <v>9</v>
      </c>
      <c r="N137">
        <f>IF([1]!TbRegistroSaídas[[#This Row],[Data do Caixa Previsto]]="",0,YEAR([1]!TbRegistroSaídas[[#This Row],[Data do Caixa Previsto]]))</f>
        <v>2018</v>
      </c>
      <c r="O13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2000</v>
      </c>
    </row>
    <row r="138" spans="2:15" x14ac:dyDescent="0.25">
      <c r="B138" s="11" t="s">
        <v>68</v>
      </c>
      <c r="C138" s="11">
        <v>43358</v>
      </c>
      <c r="D138" s="11">
        <v>43358</v>
      </c>
      <c r="E138" t="s">
        <v>36</v>
      </c>
      <c r="F138" t="s">
        <v>43</v>
      </c>
      <c r="G138" t="s">
        <v>418</v>
      </c>
      <c r="H138" s="114">
        <v>2933</v>
      </c>
      <c r="I138">
        <f>IF([1]!TbRegistroSaídas[[#This Row],[Data do Caixa Realizado]]="",0,MONTH([1]!TbRegistroSaídas[[#This Row],[Data do Caixa Realizado]]))</f>
        <v>0</v>
      </c>
      <c r="J138">
        <f>IF([1]!TbRegistroSaídas[[#This Row],[Data do Caixa Realizado]]="",0,YEAR([1]!TbRegistroSaídas[[#This Row],[Data do Caixa Realizado]]))</f>
        <v>0</v>
      </c>
      <c r="K138">
        <f>IF([1]!TbRegistroSaídas[[#This Row],[Data da Competência]]="",0,MONTH([1]!TbRegistroSaídas[[#This Row],[Data da Competência]]))</f>
        <v>9</v>
      </c>
      <c r="L138">
        <f>IF([1]!TbRegistroSaídas[[#This Row],[Data da Competência]]="",0,YEAR([1]!TbRegistroSaídas[[#This Row],[Data da Competência]]))</f>
        <v>2018</v>
      </c>
      <c r="M138">
        <f>IF([1]!TbRegistroSaídas[[#This Row],[Data do Caixa Previsto]]="",0,MONTH([1]!TbRegistroSaídas[[#This Row],[Data do Caixa Previsto]]))</f>
        <v>9</v>
      </c>
      <c r="N138">
        <f>IF([1]!TbRegistroSaídas[[#This Row],[Data do Caixa Previsto]]="",0,YEAR([1]!TbRegistroSaídas[[#This Row],[Data do Caixa Previsto]]))</f>
        <v>2018</v>
      </c>
      <c r="O13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1995</v>
      </c>
    </row>
    <row r="139" spans="2:15" x14ac:dyDescent="0.25">
      <c r="B139" s="11">
        <v>43405.129639238316</v>
      </c>
      <c r="C139" s="11">
        <v>43358</v>
      </c>
      <c r="D139" s="11">
        <v>43405.129639238316</v>
      </c>
      <c r="E139" t="s">
        <v>36</v>
      </c>
      <c r="F139" t="s">
        <v>43</v>
      </c>
      <c r="G139" t="s">
        <v>419</v>
      </c>
      <c r="H139" s="114">
        <v>4944</v>
      </c>
      <c r="I139">
        <f>IF([1]!TbRegistroSaídas[[#This Row],[Data do Caixa Realizado]]="",0,MONTH([1]!TbRegistroSaídas[[#This Row],[Data do Caixa Realizado]]))</f>
        <v>11</v>
      </c>
      <c r="J139">
        <f>IF([1]!TbRegistroSaídas[[#This Row],[Data do Caixa Realizado]]="",0,YEAR([1]!TbRegistroSaídas[[#This Row],[Data do Caixa Realizado]]))</f>
        <v>2018</v>
      </c>
      <c r="K139">
        <f>IF([1]!TbRegistroSaídas[[#This Row],[Data da Competência]]="",0,MONTH([1]!TbRegistroSaídas[[#This Row],[Data da Competência]]))</f>
        <v>9</v>
      </c>
      <c r="L139">
        <f>IF([1]!TbRegistroSaídas[[#This Row],[Data da Competência]]="",0,YEAR([1]!TbRegistroSaídas[[#This Row],[Data da Competência]]))</f>
        <v>2018</v>
      </c>
      <c r="M139">
        <f>IF([1]!TbRegistroSaídas[[#This Row],[Data do Caixa Previsto]]="",0,MONTH([1]!TbRegistroSaídas[[#This Row],[Data do Caixa Previsto]]))</f>
        <v>11</v>
      </c>
      <c r="N139">
        <f>IF([1]!TbRegistroSaídas[[#This Row],[Data do Caixa Previsto]]="",0,YEAR([1]!TbRegistroSaídas[[#This Row],[Data do Caixa Previsto]]))</f>
        <v>2018</v>
      </c>
      <c r="O13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40" spans="2:15" x14ac:dyDescent="0.25">
      <c r="B140" s="11">
        <v>43377.659993656314</v>
      </c>
      <c r="C140" s="11">
        <v>43362</v>
      </c>
      <c r="D140" s="11">
        <v>43377.659993656314</v>
      </c>
      <c r="E140" t="s">
        <v>36</v>
      </c>
      <c r="F140" t="s">
        <v>35</v>
      </c>
      <c r="G140" t="s">
        <v>420</v>
      </c>
      <c r="H140" s="114">
        <v>4173</v>
      </c>
      <c r="I140">
        <f>IF([1]!TbRegistroSaídas[[#This Row],[Data do Caixa Realizado]]="",0,MONTH([1]!TbRegistroSaídas[[#This Row],[Data do Caixa Realizado]]))</f>
        <v>10</v>
      </c>
      <c r="J140">
        <f>IF([1]!TbRegistroSaídas[[#This Row],[Data do Caixa Realizado]]="",0,YEAR([1]!TbRegistroSaídas[[#This Row],[Data do Caixa Realizado]]))</f>
        <v>2018</v>
      </c>
      <c r="K140">
        <f>IF([1]!TbRegistroSaídas[[#This Row],[Data da Competência]]="",0,MONTH([1]!TbRegistroSaídas[[#This Row],[Data da Competência]]))</f>
        <v>9</v>
      </c>
      <c r="L140">
        <f>IF([1]!TbRegistroSaídas[[#This Row],[Data da Competência]]="",0,YEAR([1]!TbRegistroSaídas[[#This Row],[Data da Competência]]))</f>
        <v>2018</v>
      </c>
      <c r="M140">
        <f>IF([1]!TbRegistroSaídas[[#This Row],[Data do Caixa Previsto]]="",0,MONTH([1]!TbRegistroSaídas[[#This Row],[Data do Caixa Previsto]]))</f>
        <v>10</v>
      </c>
      <c r="N140">
        <f>IF([1]!TbRegistroSaídas[[#This Row],[Data do Caixa Previsto]]="",0,YEAR([1]!TbRegistroSaídas[[#This Row],[Data do Caixa Previsto]]))</f>
        <v>2018</v>
      </c>
      <c r="O14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41" spans="2:15" x14ac:dyDescent="0.25">
      <c r="B141" s="11">
        <v>43375.186046774324</v>
      </c>
      <c r="C141" s="11">
        <v>43367</v>
      </c>
      <c r="D141" s="11">
        <v>43375.186046774324</v>
      </c>
      <c r="E141" t="s">
        <v>36</v>
      </c>
      <c r="F141" t="s">
        <v>31</v>
      </c>
      <c r="G141" t="s">
        <v>421</v>
      </c>
      <c r="H141" s="114">
        <v>2065</v>
      </c>
      <c r="I141">
        <f>IF([1]!TbRegistroSaídas[[#This Row],[Data do Caixa Realizado]]="",0,MONTH([1]!TbRegistroSaídas[[#This Row],[Data do Caixa Realizado]]))</f>
        <v>10</v>
      </c>
      <c r="J141">
        <f>IF([1]!TbRegistroSaídas[[#This Row],[Data do Caixa Realizado]]="",0,YEAR([1]!TbRegistroSaídas[[#This Row],[Data do Caixa Realizado]]))</f>
        <v>2018</v>
      </c>
      <c r="K141">
        <f>IF([1]!TbRegistroSaídas[[#This Row],[Data da Competência]]="",0,MONTH([1]!TbRegistroSaídas[[#This Row],[Data da Competência]]))</f>
        <v>9</v>
      </c>
      <c r="L141">
        <f>IF([1]!TbRegistroSaídas[[#This Row],[Data da Competência]]="",0,YEAR([1]!TbRegistroSaídas[[#This Row],[Data da Competência]]))</f>
        <v>2018</v>
      </c>
      <c r="M141">
        <f>IF([1]!TbRegistroSaídas[[#This Row],[Data do Caixa Previsto]]="",0,MONTH([1]!TbRegistroSaídas[[#This Row],[Data do Caixa Previsto]]))</f>
        <v>10</v>
      </c>
      <c r="N141">
        <f>IF([1]!TbRegistroSaídas[[#This Row],[Data do Caixa Previsto]]="",0,YEAR([1]!TbRegistroSaídas[[#This Row],[Data do Caixa Previsto]]))</f>
        <v>2018</v>
      </c>
      <c r="O14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42" spans="2:15" x14ac:dyDescent="0.25">
      <c r="B142" s="11">
        <v>43422.470077078746</v>
      </c>
      <c r="C142" s="11">
        <v>43371</v>
      </c>
      <c r="D142" s="11">
        <v>43422.470077078746</v>
      </c>
      <c r="E142" t="s">
        <v>36</v>
      </c>
      <c r="F142" t="s">
        <v>32</v>
      </c>
      <c r="G142" t="s">
        <v>422</v>
      </c>
      <c r="H142" s="114">
        <v>521</v>
      </c>
      <c r="I142">
        <f>IF([1]!TbRegistroSaídas[[#This Row],[Data do Caixa Realizado]]="",0,MONTH([1]!TbRegistroSaídas[[#This Row],[Data do Caixa Realizado]]))</f>
        <v>11</v>
      </c>
      <c r="J142">
        <f>IF([1]!TbRegistroSaídas[[#This Row],[Data do Caixa Realizado]]="",0,YEAR([1]!TbRegistroSaídas[[#This Row],[Data do Caixa Realizado]]))</f>
        <v>2018</v>
      </c>
      <c r="K142">
        <f>IF([1]!TbRegistroSaídas[[#This Row],[Data da Competência]]="",0,MONTH([1]!TbRegistroSaídas[[#This Row],[Data da Competência]]))</f>
        <v>9</v>
      </c>
      <c r="L142">
        <f>IF([1]!TbRegistroSaídas[[#This Row],[Data da Competência]]="",0,YEAR([1]!TbRegistroSaídas[[#This Row],[Data da Competência]]))</f>
        <v>2018</v>
      </c>
      <c r="M142">
        <f>IF([1]!TbRegistroSaídas[[#This Row],[Data do Caixa Previsto]]="",0,MONTH([1]!TbRegistroSaídas[[#This Row],[Data do Caixa Previsto]]))</f>
        <v>11</v>
      </c>
      <c r="N142">
        <f>IF([1]!TbRegistroSaídas[[#This Row],[Data do Caixa Previsto]]="",0,YEAR([1]!TbRegistroSaídas[[#This Row],[Data do Caixa Previsto]]))</f>
        <v>2018</v>
      </c>
      <c r="O14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43" spans="2:15" x14ac:dyDescent="0.25">
      <c r="B143" s="11" t="s">
        <v>68</v>
      </c>
      <c r="C143" s="11">
        <v>43374</v>
      </c>
      <c r="D143" s="11">
        <v>43417.82681558784</v>
      </c>
      <c r="E143" t="s">
        <v>36</v>
      </c>
      <c r="F143" t="s">
        <v>32</v>
      </c>
      <c r="G143" t="s">
        <v>423</v>
      </c>
      <c r="H143" s="114">
        <v>819</v>
      </c>
      <c r="I143">
        <f>IF([1]!TbRegistroSaídas[[#This Row],[Data do Caixa Realizado]]="",0,MONTH([1]!TbRegistroSaídas[[#This Row],[Data do Caixa Realizado]]))</f>
        <v>0</v>
      </c>
      <c r="J143">
        <f>IF([1]!TbRegistroSaídas[[#This Row],[Data do Caixa Realizado]]="",0,YEAR([1]!TbRegistroSaídas[[#This Row],[Data do Caixa Realizado]]))</f>
        <v>0</v>
      </c>
      <c r="K143">
        <f>IF([1]!TbRegistroSaídas[[#This Row],[Data da Competência]]="",0,MONTH([1]!TbRegistroSaídas[[#This Row],[Data da Competência]]))</f>
        <v>10</v>
      </c>
      <c r="L143">
        <f>IF([1]!TbRegistroSaídas[[#This Row],[Data da Competência]]="",0,YEAR([1]!TbRegistroSaídas[[#This Row],[Data da Competência]]))</f>
        <v>2018</v>
      </c>
      <c r="M143">
        <f>IF([1]!TbRegistroSaídas[[#This Row],[Data do Caixa Previsto]]="",0,MONTH([1]!TbRegistroSaídas[[#This Row],[Data do Caixa Previsto]]))</f>
        <v>11</v>
      </c>
      <c r="N143">
        <f>IF([1]!TbRegistroSaídas[[#This Row],[Data do Caixa Previsto]]="",0,YEAR([1]!TbRegistroSaídas[[#This Row],[Data do Caixa Previsto]]))</f>
        <v>2018</v>
      </c>
      <c r="O14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1935.1731844121605</v>
      </c>
    </row>
    <row r="144" spans="2:15" x14ac:dyDescent="0.25">
      <c r="B144" s="11">
        <v>43377</v>
      </c>
      <c r="C144" s="11">
        <v>43377</v>
      </c>
      <c r="D144" s="11">
        <v>43377</v>
      </c>
      <c r="E144" t="s">
        <v>36</v>
      </c>
      <c r="F144" t="s">
        <v>35</v>
      </c>
      <c r="G144" t="s">
        <v>424</v>
      </c>
      <c r="H144" s="114">
        <v>1260</v>
      </c>
      <c r="I144">
        <f>IF([1]!TbRegistroSaídas[[#This Row],[Data do Caixa Realizado]]="",0,MONTH([1]!TbRegistroSaídas[[#This Row],[Data do Caixa Realizado]]))</f>
        <v>10</v>
      </c>
      <c r="J144">
        <f>IF([1]!TbRegistroSaídas[[#This Row],[Data do Caixa Realizado]]="",0,YEAR([1]!TbRegistroSaídas[[#This Row],[Data do Caixa Realizado]]))</f>
        <v>2018</v>
      </c>
      <c r="K144">
        <f>IF([1]!TbRegistroSaídas[[#This Row],[Data da Competência]]="",0,MONTH([1]!TbRegistroSaídas[[#This Row],[Data da Competência]]))</f>
        <v>10</v>
      </c>
      <c r="L144">
        <f>IF([1]!TbRegistroSaídas[[#This Row],[Data da Competência]]="",0,YEAR([1]!TbRegistroSaídas[[#This Row],[Data da Competência]]))</f>
        <v>2018</v>
      </c>
      <c r="M144">
        <f>IF([1]!TbRegistroSaídas[[#This Row],[Data do Caixa Previsto]]="",0,MONTH([1]!TbRegistroSaídas[[#This Row],[Data do Caixa Previsto]]))</f>
        <v>10</v>
      </c>
      <c r="N144">
        <f>IF([1]!TbRegistroSaídas[[#This Row],[Data do Caixa Previsto]]="",0,YEAR([1]!TbRegistroSaídas[[#This Row],[Data do Caixa Previsto]]))</f>
        <v>2018</v>
      </c>
      <c r="O14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45" spans="2:15" x14ac:dyDescent="0.25">
      <c r="B145" s="11">
        <v>43389.890057350683</v>
      </c>
      <c r="C145" s="11">
        <v>43383</v>
      </c>
      <c r="D145" s="11">
        <v>43389.890057350683</v>
      </c>
      <c r="E145" t="s">
        <v>36</v>
      </c>
      <c r="F145" t="s">
        <v>31</v>
      </c>
      <c r="G145" t="s">
        <v>425</v>
      </c>
      <c r="H145" s="114">
        <v>2998</v>
      </c>
      <c r="I145">
        <f>IF([1]!TbRegistroSaídas[[#This Row],[Data do Caixa Realizado]]="",0,MONTH([1]!TbRegistroSaídas[[#This Row],[Data do Caixa Realizado]]))</f>
        <v>10</v>
      </c>
      <c r="J145">
        <f>IF([1]!TbRegistroSaídas[[#This Row],[Data do Caixa Realizado]]="",0,YEAR([1]!TbRegistroSaídas[[#This Row],[Data do Caixa Realizado]]))</f>
        <v>2018</v>
      </c>
      <c r="K145">
        <f>IF([1]!TbRegistroSaídas[[#This Row],[Data da Competência]]="",0,MONTH([1]!TbRegistroSaídas[[#This Row],[Data da Competência]]))</f>
        <v>10</v>
      </c>
      <c r="L145">
        <f>IF([1]!TbRegistroSaídas[[#This Row],[Data da Competência]]="",0,YEAR([1]!TbRegistroSaídas[[#This Row],[Data da Competência]]))</f>
        <v>2018</v>
      </c>
      <c r="M145">
        <f>IF([1]!TbRegistroSaídas[[#This Row],[Data do Caixa Previsto]]="",0,MONTH([1]!TbRegistroSaídas[[#This Row],[Data do Caixa Previsto]]))</f>
        <v>10</v>
      </c>
      <c r="N145">
        <f>IF([1]!TbRegistroSaídas[[#This Row],[Data do Caixa Previsto]]="",0,YEAR([1]!TbRegistroSaídas[[#This Row],[Data do Caixa Previsto]]))</f>
        <v>2018</v>
      </c>
      <c r="O14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46" spans="2:15" x14ac:dyDescent="0.25">
      <c r="B146" s="11">
        <v>43468.066031322633</v>
      </c>
      <c r="C146" s="11">
        <v>43385</v>
      </c>
      <c r="D146" s="11">
        <v>43404.046693214259</v>
      </c>
      <c r="E146" t="s">
        <v>36</v>
      </c>
      <c r="F146" t="s">
        <v>31</v>
      </c>
      <c r="G146" t="s">
        <v>426</v>
      </c>
      <c r="H146" s="114">
        <v>4287</v>
      </c>
      <c r="I146">
        <f>IF([1]!TbRegistroSaídas[[#This Row],[Data do Caixa Realizado]]="",0,MONTH([1]!TbRegistroSaídas[[#This Row],[Data do Caixa Realizado]]))</f>
        <v>1</v>
      </c>
      <c r="J146">
        <f>IF([1]!TbRegistroSaídas[[#This Row],[Data do Caixa Realizado]]="",0,YEAR([1]!TbRegistroSaídas[[#This Row],[Data do Caixa Realizado]]))</f>
        <v>2019</v>
      </c>
      <c r="K146">
        <f>IF([1]!TbRegistroSaídas[[#This Row],[Data da Competência]]="",0,MONTH([1]!TbRegistroSaídas[[#This Row],[Data da Competência]]))</f>
        <v>10</v>
      </c>
      <c r="L146">
        <f>IF([1]!TbRegistroSaídas[[#This Row],[Data da Competência]]="",0,YEAR([1]!TbRegistroSaídas[[#This Row],[Data da Competência]]))</f>
        <v>2018</v>
      </c>
      <c r="M146">
        <f>IF([1]!TbRegistroSaídas[[#This Row],[Data do Caixa Previsto]]="",0,MONTH([1]!TbRegistroSaídas[[#This Row],[Data do Caixa Previsto]]))</f>
        <v>10</v>
      </c>
      <c r="N146">
        <f>IF([1]!TbRegistroSaídas[[#This Row],[Data do Caixa Previsto]]="",0,YEAR([1]!TbRegistroSaídas[[#This Row],[Data do Caixa Previsto]]))</f>
        <v>2018</v>
      </c>
      <c r="O14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64.019338108373631</v>
      </c>
    </row>
    <row r="147" spans="2:15" x14ac:dyDescent="0.25">
      <c r="B147" s="11">
        <v>43448.34684142108</v>
      </c>
      <c r="C147" s="11">
        <v>43387</v>
      </c>
      <c r="D147" s="11">
        <v>43387</v>
      </c>
      <c r="E147" t="s">
        <v>36</v>
      </c>
      <c r="F147" t="s">
        <v>33</v>
      </c>
      <c r="G147" t="s">
        <v>427</v>
      </c>
      <c r="H147" s="114">
        <v>2015</v>
      </c>
      <c r="I147">
        <f>IF([1]!TbRegistroSaídas[[#This Row],[Data do Caixa Realizado]]="",0,MONTH([1]!TbRegistroSaídas[[#This Row],[Data do Caixa Realizado]]))</f>
        <v>12</v>
      </c>
      <c r="J147">
        <f>IF([1]!TbRegistroSaídas[[#This Row],[Data do Caixa Realizado]]="",0,YEAR([1]!TbRegistroSaídas[[#This Row],[Data do Caixa Realizado]]))</f>
        <v>2018</v>
      </c>
      <c r="K147">
        <f>IF([1]!TbRegistroSaídas[[#This Row],[Data da Competência]]="",0,MONTH([1]!TbRegistroSaídas[[#This Row],[Data da Competência]]))</f>
        <v>10</v>
      </c>
      <c r="L147">
        <f>IF([1]!TbRegistroSaídas[[#This Row],[Data da Competência]]="",0,YEAR([1]!TbRegistroSaídas[[#This Row],[Data da Competência]]))</f>
        <v>2018</v>
      </c>
      <c r="M147">
        <f>IF([1]!TbRegistroSaídas[[#This Row],[Data do Caixa Previsto]]="",0,MONTH([1]!TbRegistroSaídas[[#This Row],[Data do Caixa Previsto]]))</f>
        <v>10</v>
      </c>
      <c r="N147">
        <f>IF([1]!TbRegistroSaídas[[#This Row],[Data do Caixa Previsto]]="",0,YEAR([1]!TbRegistroSaídas[[#This Row],[Data do Caixa Previsto]]))</f>
        <v>2018</v>
      </c>
      <c r="O14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61.346841421080171</v>
      </c>
    </row>
    <row r="148" spans="2:15" x14ac:dyDescent="0.25">
      <c r="B148" s="11">
        <v>43449.211879770926</v>
      </c>
      <c r="C148" s="11">
        <v>43393</v>
      </c>
      <c r="D148" s="11">
        <v>43449.211879770926</v>
      </c>
      <c r="E148" t="s">
        <v>36</v>
      </c>
      <c r="F148" t="s">
        <v>33</v>
      </c>
      <c r="G148" t="s">
        <v>428</v>
      </c>
      <c r="H148" s="114">
        <v>3369</v>
      </c>
      <c r="I148">
        <f>IF([1]!TbRegistroSaídas[[#This Row],[Data do Caixa Realizado]]="",0,MONTH([1]!TbRegistroSaídas[[#This Row],[Data do Caixa Realizado]]))</f>
        <v>12</v>
      </c>
      <c r="J148">
        <f>IF([1]!TbRegistroSaídas[[#This Row],[Data do Caixa Realizado]]="",0,YEAR([1]!TbRegistroSaídas[[#This Row],[Data do Caixa Realizado]]))</f>
        <v>2018</v>
      </c>
      <c r="K148">
        <f>IF([1]!TbRegistroSaídas[[#This Row],[Data da Competência]]="",0,MONTH([1]!TbRegistroSaídas[[#This Row],[Data da Competência]]))</f>
        <v>10</v>
      </c>
      <c r="L148">
        <f>IF([1]!TbRegistroSaídas[[#This Row],[Data da Competência]]="",0,YEAR([1]!TbRegistroSaídas[[#This Row],[Data da Competência]]))</f>
        <v>2018</v>
      </c>
      <c r="M148">
        <f>IF([1]!TbRegistroSaídas[[#This Row],[Data do Caixa Previsto]]="",0,MONTH([1]!TbRegistroSaídas[[#This Row],[Data do Caixa Previsto]]))</f>
        <v>12</v>
      </c>
      <c r="N148">
        <f>IF([1]!TbRegistroSaídas[[#This Row],[Data do Caixa Previsto]]="",0,YEAR([1]!TbRegistroSaídas[[#This Row],[Data do Caixa Previsto]]))</f>
        <v>2018</v>
      </c>
      <c r="O14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49" spans="2:15" x14ac:dyDescent="0.25">
      <c r="B149" s="11">
        <v>43394</v>
      </c>
      <c r="C149" s="11">
        <v>43394</v>
      </c>
      <c r="D149" s="11">
        <v>43394</v>
      </c>
      <c r="E149" t="s">
        <v>36</v>
      </c>
      <c r="F149" t="s">
        <v>43</v>
      </c>
      <c r="G149" t="s">
        <v>429</v>
      </c>
      <c r="H149" s="114">
        <v>4851</v>
      </c>
      <c r="I149">
        <f>IF([1]!TbRegistroSaídas[[#This Row],[Data do Caixa Realizado]]="",0,MONTH([1]!TbRegistroSaídas[[#This Row],[Data do Caixa Realizado]]))</f>
        <v>10</v>
      </c>
      <c r="J149">
        <f>IF([1]!TbRegistroSaídas[[#This Row],[Data do Caixa Realizado]]="",0,YEAR([1]!TbRegistroSaídas[[#This Row],[Data do Caixa Realizado]]))</f>
        <v>2018</v>
      </c>
      <c r="K149">
        <f>IF([1]!TbRegistroSaídas[[#This Row],[Data da Competência]]="",0,MONTH([1]!TbRegistroSaídas[[#This Row],[Data da Competência]]))</f>
        <v>10</v>
      </c>
      <c r="L149">
        <f>IF([1]!TbRegistroSaídas[[#This Row],[Data da Competência]]="",0,YEAR([1]!TbRegistroSaídas[[#This Row],[Data da Competência]]))</f>
        <v>2018</v>
      </c>
      <c r="M149">
        <f>IF([1]!TbRegistroSaídas[[#This Row],[Data do Caixa Previsto]]="",0,MONTH([1]!TbRegistroSaídas[[#This Row],[Data do Caixa Previsto]]))</f>
        <v>10</v>
      </c>
      <c r="N149">
        <f>IF([1]!TbRegistroSaídas[[#This Row],[Data do Caixa Previsto]]="",0,YEAR([1]!TbRegistroSaídas[[#This Row],[Data do Caixa Previsto]]))</f>
        <v>2018</v>
      </c>
      <c r="O14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50" spans="2:15" x14ac:dyDescent="0.25">
      <c r="B150" s="11">
        <v>43449.013472196442</v>
      </c>
      <c r="C150" s="11">
        <v>43398</v>
      </c>
      <c r="D150" s="11">
        <v>43449.013472196442</v>
      </c>
      <c r="E150" t="s">
        <v>36</v>
      </c>
      <c r="F150" t="s">
        <v>43</v>
      </c>
      <c r="G150" t="s">
        <v>430</v>
      </c>
      <c r="H150" s="114">
        <v>2178</v>
      </c>
      <c r="I150">
        <f>IF([1]!TbRegistroSaídas[[#This Row],[Data do Caixa Realizado]]="",0,MONTH([1]!TbRegistroSaídas[[#This Row],[Data do Caixa Realizado]]))</f>
        <v>12</v>
      </c>
      <c r="J150">
        <f>IF([1]!TbRegistroSaídas[[#This Row],[Data do Caixa Realizado]]="",0,YEAR([1]!TbRegistroSaídas[[#This Row],[Data do Caixa Realizado]]))</f>
        <v>2018</v>
      </c>
      <c r="K150">
        <f>IF([1]!TbRegistroSaídas[[#This Row],[Data da Competência]]="",0,MONTH([1]!TbRegistroSaídas[[#This Row],[Data da Competência]]))</f>
        <v>10</v>
      </c>
      <c r="L150">
        <f>IF([1]!TbRegistroSaídas[[#This Row],[Data da Competência]]="",0,YEAR([1]!TbRegistroSaídas[[#This Row],[Data da Competência]]))</f>
        <v>2018</v>
      </c>
      <c r="M150">
        <f>IF([1]!TbRegistroSaídas[[#This Row],[Data do Caixa Previsto]]="",0,MONTH([1]!TbRegistroSaídas[[#This Row],[Data do Caixa Previsto]]))</f>
        <v>12</v>
      </c>
      <c r="N150">
        <f>IF([1]!TbRegistroSaídas[[#This Row],[Data do Caixa Previsto]]="",0,YEAR([1]!TbRegistroSaídas[[#This Row],[Data do Caixa Previsto]]))</f>
        <v>2018</v>
      </c>
      <c r="O15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51" spans="2:15" x14ac:dyDescent="0.25">
      <c r="B151" s="11">
        <v>43424.062053727328</v>
      </c>
      <c r="C151" s="11">
        <v>43400</v>
      </c>
      <c r="D151" s="11">
        <v>43424.062053727328</v>
      </c>
      <c r="E151" t="s">
        <v>36</v>
      </c>
      <c r="F151" t="s">
        <v>33</v>
      </c>
      <c r="G151" t="s">
        <v>431</v>
      </c>
      <c r="H151" s="114">
        <v>4052</v>
      </c>
      <c r="I151">
        <f>IF([1]!TbRegistroSaídas[[#This Row],[Data do Caixa Realizado]]="",0,MONTH([1]!TbRegistroSaídas[[#This Row],[Data do Caixa Realizado]]))</f>
        <v>11</v>
      </c>
      <c r="J151">
        <f>IF([1]!TbRegistroSaídas[[#This Row],[Data do Caixa Realizado]]="",0,YEAR([1]!TbRegistroSaídas[[#This Row],[Data do Caixa Realizado]]))</f>
        <v>2018</v>
      </c>
      <c r="K151">
        <f>IF([1]!TbRegistroSaídas[[#This Row],[Data da Competência]]="",0,MONTH([1]!TbRegistroSaídas[[#This Row],[Data da Competência]]))</f>
        <v>10</v>
      </c>
      <c r="L151">
        <f>IF([1]!TbRegistroSaídas[[#This Row],[Data da Competência]]="",0,YEAR([1]!TbRegistroSaídas[[#This Row],[Data da Competência]]))</f>
        <v>2018</v>
      </c>
      <c r="M151">
        <f>IF([1]!TbRegistroSaídas[[#This Row],[Data do Caixa Previsto]]="",0,MONTH([1]!TbRegistroSaídas[[#This Row],[Data do Caixa Previsto]]))</f>
        <v>11</v>
      </c>
      <c r="N151">
        <f>IF([1]!TbRegistroSaídas[[#This Row],[Data do Caixa Previsto]]="",0,YEAR([1]!TbRegistroSaídas[[#This Row],[Data do Caixa Previsto]]))</f>
        <v>2018</v>
      </c>
      <c r="O15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52" spans="2:15" x14ac:dyDescent="0.25">
      <c r="B152" s="11">
        <v>43403</v>
      </c>
      <c r="C152" s="11">
        <v>43403</v>
      </c>
      <c r="D152" s="11">
        <v>43403</v>
      </c>
      <c r="E152" t="s">
        <v>36</v>
      </c>
      <c r="F152" t="s">
        <v>31</v>
      </c>
      <c r="G152" t="s">
        <v>432</v>
      </c>
      <c r="H152" s="114">
        <v>2864</v>
      </c>
      <c r="I152">
        <f>IF([1]!TbRegistroSaídas[[#This Row],[Data do Caixa Realizado]]="",0,MONTH([1]!TbRegistroSaídas[[#This Row],[Data do Caixa Realizado]]))</f>
        <v>10</v>
      </c>
      <c r="J152">
        <f>IF([1]!TbRegistroSaídas[[#This Row],[Data do Caixa Realizado]]="",0,YEAR([1]!TbRegistroSaídas[[#This Row],[Data do Caixa Realizado]]))</f>
        <v>2018</v>
      </c>
      <c r="K152">
        <f>IF([1]!TbRegistroSaídas[[#This Row],[Data da Competência]]="",0,MONTH([1]!TbRegistroSaídas[[#This Row],[Data da Competência]]))</f>
        <v>10</v>
      </c>
      <c r="L152">
        <f>IF([1]!TbRegistroSaídas[[#This Row],[Data da Competência]]="",0,YEAR([1]!TbRegistroSaídas[[#This Row],[Data da Competência]]))</f>
        <v>2018</v>
      </c>
      <c r="M152">
        <f>IF([1]!TbRegistroSaídas[[#This Row],[Data do Caixa Previsto]]="",0,MONTH([1]!TbRegistroSaídas[[#This Row],[Data do Caixa Previsto]]))</f>
        <v>10</v>
      </c>
      <c r="N152">
        <f>IF([1]!TbRegistroSaídas[[#This Row],[Data do Caixa Previsto]]="",0,YEAR([1]!TbRegistroSaídas[[#This Row],[Data do Caixa Previsto]]))</f>
        <v>2018</v>
      </c>
      <c r="O15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53" spans="2:15" x14ac:dyDescent="0.25">
      <c r="B153" s="11">
        <v>43461.891878681301</v>
      </c>
      <c r="C153" s="11">
        <v>43405</v>
      </c>
      <c r="D153" s="11">
        <v>43461.891878681301</v>
      </c>
      <c r="E153" t="s">
        <v>36</v>
      </c>
      <c r="F153" t="s">
        <v>43</v>
      </c>
      <c r="G153" t="s">
        <v>433</v>
      </c>
      <c r="H153" s="114">
        <v>2425</v>
      </c>
      <c r="I153">
        <f>IF([1]!TbRegistroSaídas[[#This Row],[Data do Caixa Realizado]]="",0,MONTH([1]!TbRegistroSaídas[[#This Row],[Data do Caixa Realizado]]))</f>
        <v>12</v>
      </c>
      <c r="J153">
        <f>IF([1]!TbRegistroSaídas[[#This Row],[Data do Caixa Realizado]]="",0,YEAR([1]!TbRegistroSaídas[[#This Row],[Data do Caixa Realizado]]))</f>
        <v>2018</v>
      </c>
      <c r="K153">
        <f>IF([1]!TbRegistroSaídas[[#This Row],[Data da Competência]]="",0,MONTH([1]!TbRegistroSaídas[[#This Row],[Data da Competência]]))</f>
        <v>11</v>
      </c>
      <c r="L153">
        <f>IF([1]!TbRegistroSaídas[[#This Row],[Data da Competência]]="",0,YEAR([1]!TbRegistroSaídas[[#This Row],[Data da Competência]]))</f>
        <v>2018</v>
      </c>
      <c r="M153">
        <f>IF([1]!TbRegistroSaídas[[#This Row],[Data do Caixa Previsto]]="",0,MONTH([1]!TbRegistroSaídas[[#This Row],[Data do Caixa Previsto]]))</f>
        <v>12</v>
      </c>
      <c r="N153">
        <f>IF([1]!TbRegistroSaídas[[#This Row],[Data do Caixa Previsto]]="",0,YEAR([1]!TbRegistroSaídas[[#This Row],[Data do Caixa Previsto]]))</f>
        <v>2018</v>
      </c>
      <c r="O15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54" spans="2:15" x14ac:dyDescent="0.25">
      <c r="B154" s="11">
        <v>43466.552162254069</v>
      </c>
      <c r="C154" s="11">
        <v>43407</v>
      </c>
      <c r="D154" s="11">
        <v>43466.552162254069</v>
      </c>
      <c r="E154" t="s">
        <v>36</v>
      </c>
      <c r="F154" t="s">
        <v>31</v>
      </c>
      <c r="G154" t="s">
        <v>351</v>
      </c>
      <c r="H154" s="114">
        <v>1542</v>
      </c>
      <c r="I154">
        <f>IF([1]!TbRegistroSaídas[[#This Row],[Data do Caixa Realizado]]="",0,MONTH([1]!TbRegistroSaídas[[#This Row],[Data do Caixa Realizado]]))</f>
        <v>1</v>
      </c>
      <c r="J154">
        <f>IF([1]!TbRegistroSaídas[[#This Row],[Data do Caixa Realizado]]="",0,YEAR([1]!TbRegistroSaídas[[#This Row],[Data do Caixa Realizado]]))</f>
        <v>2019</v>
      </c>
      <c r="K154">
        <f>IF([1]!TbRegistroSaídas[[#This Row],[Data da Competência]]="",0,MONTH([1]!TbRegistroSaídas[[#This Row],[Data da Competência]]))</f>
        <v>11</v>
      </c>
      <c r="L154">
        <f>IF([1]!TbRegistroSaídas[[#This Row],[Data da Competência]]="",0,YEAR([1]!TbRegistroSaídas[[#This Row],[Data da Competência]]))</f>
        <v>2018</v>
      </c>
      <c r="M154">
        <f>IF([1]!TbRegistroSaídas[[#This Row],[Data do Caixa Previsto]]="",0,MONTH([1]!TbRegistroSaídas[[#This Row],[Data do Caixa Previsto]]))</f>
        <v>1</v>
      </c>
      <c r="N154">
        <f>IF([1]!TbRegistroSaídas[[#This Row],[Data do Caixa Previsto]]="",0,YEAR([1]!TbRegistroSaídas[[#This Row],[Data do Caixa Previsto]]))</f>
        <v>2019</v>
      </c>
      <c r="O15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55" spans="2:15" x14ac:dyDescent="0.25">
      <c r="B155" s="11">
        <v>43446.7351960983</v>
      </c>
      <c r="C155" s="11">
        <v>43412</v>
      </c>
      <c r="D155" s="11">
        <v>43446.7351960983</v>
      </c>
      <c r="E155" t="s">
        <v>36</v>
      </c>
      <c r="F155" t="s">
        <v>43</v>
      </c>
      <c r="G155" t="s">
        <v>434</v>
      </c>
      <c r="H155" s="114">
        <v>1736</v>
      </c>
      <c r="I155">
        <f>IF([1]!TbRegistroSaídas[[#This Row],[Data do Caixa Realizado]]="",0,MONTH([1]!TbRegistroSaídas[[#This Row],[Data do Caixa Realizado]]))</f>
        <v>12</v>
      </c>
      <c r="J155">
        <f>IF([1]!TbRegistroSaídas[[#This Row],[Data do Caixa Realizado]]="",0,YEAR([1]!TbRegistroSaídas[[#This Row],[Data do Caixa Realizado]]))</f>
        <v>2018</v>
      </c>
      <c r="K155">
        <f>IF([1]!TbRegistroSaídas[[#This Row],[Data da Competência]]="",0,MONTH([1]!TbRegistroSaídas[[#This Row],[Data da Competência]]))</f>
        <v>11</v>
      </c>
      <c r="L155">
        <f>IF([1]!TbRegistroSaídas[[#This Row],[Data da Competência]]="",0,YEAR([1]!TbRegistroSaídas[[#This Row],[Data da Competência]]))</f>
        <v>2018</v>
      </c>
      <c r="M155">
        <f>IF([1]!TbRegistroSaídas[[#This Row],[Data do Caixa Previsto]]="",0,MONTH([1]!TbRegistroSaídas[[#This Row],[Data do Caixa Previsto]]))</f>
        <v>12</v>
      </c>
      <c r="N155">
        <f>IF([1]!TbRegistroSaídas[[#This Row],[Data do Caixa Previsto]]="",0,YEAR([1]!TbRegistroSaídas[[#This Row],[Data do Caixa Previsto]]))</f>
        <v>2018</v>
      </c>
      <c r="O15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56" spans="2:15" x14ac:dyDescent="0.25">
      <c r="B156" s="11">
        <v>43485.522469391675</v>
      </c>
      <c r="C156" s="11">
        <v>43415</v>
      </c>
      <c r="D156" s="11">
        <v>43474.679630611819</v>
      </c>
      <c r="E156" t="s">
        <v>36</v>
      </c>
      <c r="F156" t="s">
        <v>32</v>
      </c>
      <c r="G156" t="s">
        <v>435</v>
      </c>
      <c r="H156" s="114">
        <v>1628</v>
      </c>
      <c r="I156">
        <f>IF([1]!TbRegistroSaídas[[#This Row],[Data do Caixa Realizado]]="",0,MONTH([1]!TbRegistroSaídas[[#This Row],[Data do Caixa Realizado]]))</f>
        <v>1</v>
      </c>
      <c r="J156">
        <f>IF([1]!TbRegistroSaídas[[#This Row],[Data do Caixa Realizado]]="",0,YEAR([1]!TbRegistroSaídas[[#This Row],[Data do Caixa Realizado]]))</f>
        <v>2019</v>
      </c>
      <c r="K156">
        <f>IF([1]!TbRegistroSaídas[[#This Row],[Data da Competência]]="",0,MONTH([1]!TbRegistroSaídas[[#This Row],[Data da Competência]]))</f>
        <v>11</v>
      </c>
      <c r="L156">
        <f>IF([1]!TbRegistroSaídas[[#This Row],[Data da Competência]]="",0,YEAR([1]!TbRegistroSaídas[[#This Row],[Data da Competência]]))</f>
        <v>2018</v>
      </c>
      <c r="M156">
        <f>IF([1]!TbRegistroSaídas[[#This Row],[Data do Caixa Previsto]]="",0,MONTH([1]!TbRegistroSaídas[[#This Row],[Data do Caixa Previsto]]))</f>
        <v>1</v>
      </c>
      <c r="N156">
        <f>IF([1]!TbRegistroSaídas[[#This Row],[Data do Caixa Previsto]]="",0,YEAR([1]!TbRegistroSaídas[[#This Row],[Data do Caixa Previsto]]))</f>
        <v>2019</v>
      </c>
      <c r="O15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10.842838779855811</v>
      </c>
    </row>
    <row r="157" spans="2:15" x14ac:dyDescent="0.25">
      <c r="B157" s="11" t="s">
        <v>68</v>
      </c>
      <c r="C157" s="11">
        <v>43417</v>
      </c>
      <c r="D157" s="11">
        <v>43417</v>
      </c>
      <c r="E157" t="s">
        <v>36</v>
      </c>
      <c r="F157" t="s">
        <v>43</v>
      </c>
      <c r="G157" t="s">
        <v>436</v>
      </c>
      <c r="H157" s="114">
        <v>3853</v>
      </c>
      <c r="I157">
        <f>IF([1]!TbRegistroSaídas[[#This Row],[Data do Caixa Realizado]]="",0,MONTH([1]!TbRegistroSaídas[[#This Row],[Data do Caixa Realizado]]))</f>
        <v>0</v>
      </c>
      <c r="J157">
        <f>IF([1]!TbRegistroSaídas[[#This Row],[Data do Caixa Realizado]]="",0,YEAR([1]!TbRegistroSaídas[[#This Row],[Data do Caixa Realizado]]))</f>
        <v>0</v>
      </c>
      <c r="K157">
        <f>IF([1]!TbRegistroSaídas[[#This Row],[Data da Competência]]="",0,MONTH([1]!TbRegistroSaídas[[#This Row],[Data da Competência]]))</f>
        <v>11</v>
      </c>
      <c r="L157">
        <f>IF([1]!TbRegistroSaídas[[#This Row],[Data da Competência]]="",0,YEAR([1]!TbRegistroSaídas[[#This Row],[Data da Competência]]))</f>
        <v>2018</v>
      </c>
      <c r="M157">
        <f>IF([1]!TbRegistroSaídas[[#This Row],[Data do Caixa Previsto]]="",0,MONTH([1]!TbRegistroSaídas[[#This Row],[Data do Caixa Previsto]]))</f>
        <v>11</v>
      </c>
      <c r="N157">
        <f>IF([1]!TbRegistroSaídas[[#This Row],[Data do Caixa Previsto]]="",0,YEAR([1]!TbRegistroSaídas[[#This Row],[Data do Caixa Previsto]]))</f>
        <v>2018</v>
      </c>
      <c r="O15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1936</v>
      </c>
    </row>
    <row r="158" spans="2:15" x14ac:dyDescent="0.25">
      <c r="B158" s="11">
        <v>43451.20401159949</v>
      </c>
      <c r="C158" s="11">
        <v>43421</v>
      </c>
      <c r="D158" s="11">
        <v>43451.20401159949</v>
      </c>
      <c r="E158" t="s">
        <v>36</v>
      </c>
      <c r="F158" t="s">
        <v>32</v>
      </c>
      <c r="G158" t="s">
        <v>437</v>
      </c>
      <c r="H158" s="114">
        <v>883</v>
      </c>
      <c r="I158">
        <f>IF([1]!TbRegistroSaídas[[#This Row],[Data do Caixa Realizado]]="",0,MONTH([1]!TbRegistroSaídas[[#This Row],[Data do Caixa Realizado]]))</f>
        <v>12</v>
      </c>
      <c r="J158">
        <f>IF([1]!TbRegistroSaídas[[#This Row],[Data do Caixa Realizado]]="",0,YEAR([1]!TbRegistroSaídas[[#This Row],[Data do Caixa Realizado]]))</f>
        <v>2018</v>
      </c>
      <c r="K158">
        <f>IF([1]!TbRegistroSaídas[[#This Row],[Data da Competência]]="",0,MONTH([1]!TbRegistroSaídas[[#This Row],[Data da Competência]]))</f>
        <v>11</v>
      </c>
      <c r="L158">
        <f>IF([1]!TbRegistroSaídas[[#This Row],[Data da Competência]]="",0,YEAR([1]!TbRegistroSaídas[[#This Row],[Data da Competência]]))</f>
        <v>2018</v>
      </c>
      <c r="M158">
        <f>IF([1]!TbRegistroSaídas[[#This Row],[Data do Caixa Previsto]]="",0,MONTH([1]!TbRegistroSaídas[[#This Row],[Data do Caixa Previsto]]))</f>
        <v>12</v>
      </c>
      <c r="N158">
        <f>IF([1]!TbRegistroSaídas[[#This Row],[Data do Caixa Previsto]]="",0,YEAR([1]!TbRegistroSaídas[[#This Row],[Data do Caixa Previsto]]))</f>
        <v>2018</v>
      </c>
      <c r="O15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59" spans="2:15" x14ac:dyDescent="0.25">
      <c r="B159" s="11">
        <v>43431.962708370338</v>
      </c>
      <c r="C159" s="11">
        <v>43421</v>
      </c>
      <c r="D159" s="11">
        <v>43421</v>
      </c>
      <c r="E159" t="s">
        <v>36</v>
      </c>
      <c r="F159" t="s">
        <v>43</v>
      </c>
      <c r="G159" t="s">
        <v>438</v>
      </c>
      <c r="H159" s="114">
        <v>976</v>
      </c>
      <c r="I159">
        <f>IF([1]!TbRegistroSaídas[[#This Row],[Data do Caixa Realizado]]="",0,MONTH([1]!TbRegistroSaídas[[#This Row],[Data do Caixa Realizado]]))</f>
        <v>11</v>
      </c>
      <c r="J159">
        <f>IF([1]!TbRegistroSaídas[[#This Row],[Data do Caixa Realizado]]="",0,YEAR([1]!TbRegistroSaídas[[#This Row],[Data do Caixa Realizado]]))</f>
        <v>2018</v>
      </c>
      <c r="K159">
        <f>IF([1]!TbRegistroSaídas[[#This Row],[Data da Competência]]="",0,MONTH([1]!TbRegistroSaídas[[#This Row],[Data da Competência]]))</f>
        <v>11</v>
      </c>
      <c r="L159">
        <f>IF([1]!TbRegistroSaídas[[#This Row],[Data da Competência]]="",0,YEAR([1]!TbRegistroSaídas[[#This Row],[Data da Competência]]))</f>
        <v>2018</v>
      </c>
      <c r="M159">
        <f>IF([1]!TbRegistroSaídas[[#This Row],[Data do Caixa Previsto]]="",0,MONTH([1]!TbRegistroSaídas[[#This Row],[Data do Caixa Previsto]]))</f>
        <v>11</v>
      </c>
      <c r="N159">
        <f>IF([1]!TbRegistroSaídas[[#This Row],[Data do Caixa Previsto]]="",0,YEAR([1]!TbRegistroSaídas[[#This Row],[Data do Caixa Previsto]]))</f>
        <v>2018</v>
      </c>
      <c r="O15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10.962708370338078</v>
      </c>
    </row>
    <row r="160" spans="2:15" x14ac:dyDescent="0.25">
      <c r="B160" s="11">
        <v>43424</v>
      </c>
      <c r="C160" s="11">
        <v>43424</v>
      </c>
      <c r="D160" s="11">
        <v>43424</v>
      </c>
      <c r="E160" t="s">
        <v>36</v>
      </c>
      <c r="F160" t="s">
        <v>32</v>
      </c>
      <c r="G160" t="s">
        <v>439</v>
      </c>
      <c r="H160" s="114">
        <v>2663</v>
      </c>
      <c r="I160">
        <f>IF([1]!TbRegistroSaídas[[#This Row],[Data do Caixa Realizado]]="",0,MONTH([1]!TbRegistroSaídas[[#This Row],[Data do Caixa Realizado]]))</f>
        <v>11</v>
      </c>
      <c r="J160">
        <f>IF([1]!TbRegistroSaídas[[#This Row],[Data do Caixa Realizado]]="",0,YEAR([1]!TbRegistroSaídas[[#This Row],[Data do Caixa Realizado]]))</f>
        <v>2018</v>
      </c>
      <c r="K160">
        <f>IF([1]!TbRegistroSaídas[[#This Row],[Data da Competência]]="",0,MONTH([1]!TbRegistroSaídas[[#This Row],[Data da Competência]]))</f>
        <v>11</v>
      </c>
      <c r="L160">
        <f>IF([1]!TbRegistroSaídas[[#This Row],[Data da Competência]]="",0,YEAR([1]!TbRegistroSaídas[[#This Row],[Data da Competência]]))</f>
        <v>2018</v>
      </c>
      <c r="M160">
        <f>IF([1]!TbRegistroSaídas[[#This Row],[Data do Caixa Previsto]]="",0,MONTH([1]!TbRegistroSaídas[[#This Row],[Data do Caixa Previsto]]))</f>
        <v>11</v>
      </c>
      <c r="N160">
        <f>IF([1]!TbRegistroSaídas[[#This Row],[Data do Caixa Previsto]]="",0,YEAR([1]!TbRegistroSaídas[[#This Row],[Data do Caixa Previsto]]))</f>
        <v>2018</v>
      </c>
      <c r="O16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61" spans="2:15" x14ac:dyDescent="0.25">
      <c r="B161" s="11">
        <v>43430.953637786966</v>
      </c>
      <c r="C161" s="11">
        <v>43430</v>
      </c>
      <c r="D161" s="11">
        <v>43430.953637786966</v>
      </c>
      <c r="E161" t="s">
        <v>36</v>
      </c>
      <c r="F161" t="s">
        <v>43</v>
      </c>
      <c r="G161" t="s">
        <v>440</v>
      </c>
      <c r="H161" s="114">
        <v>4888</v>
      </c>
      <c r="I161">
        <f>IF([1]!TbRegistroSaídas[[#This Row],[Data do Caixa Realizado]]="",0,MONTH([1]!TbRegistroSaídas[[#This Row],[Data do Caixa Realizado]]))</f>
        <v>11</v>
      </c>
      <c r="J161">
        <f>IF([1]!TbRegistroSaídas[[#This Row],[Data do Caixa Realizado]]="",0,YEAR([1]!TbRegistroSaídas[[#This Row],[Data do Caixa Realizado]]))</f>
        <v>2018</v>
      </c>
      <c r="K161">
        <f>IF([1]!TbRegistroSaídas[[#This Row],[Data da Competência]]="",0,MONTH([1]!TbRegistroSaídas[[#This Row],[Data da Competência]]))</f>
        <v>11</v>
      </c>
      <c r="L161">
        <f>IF([1]!TbRegistroSaídas[[#This Row],[Data da Competência]]="",0,YEAR([1]!TbRegistroSaídas[[#This Row],[Data da Competência]]))</f>
        <v>2018</v>
      </c>
      <c r="M161">
        <f>IF([1]!TbRegistroSaídas[[#This Row],[Data do Caixa Previsto]]="",0,MONTH([1]!TbRegistroSaídas[[#This Row],[Data do Caixa Previsto]]))</f>
        <v>11</v>
      </c>
      <c r="N161">
        <f>IF([1]!TbRegistroSaídas[[#This Row],[Data do Caixa Previsto]]="",0,YEAR([1]!TbRegistroSaídas[[#This Row],[Data do Caixa Previsto]]))</f>
        <v>2018</v>
      </c>
      <c r="O16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62" spans="2:15" x14ac:dyDescent="0.25">
      <c r="B162" s="11">
        <v>43433</v>
      </c>
      <c r="C162" s="11">
        <v>43433</v>
      </c>
      <c r="D162" s="11">
        <v>43433</v>
      </c>
      <c r="E162" t="s">
        <v>36</v>
      </c>
      <c r="F162" t="s">
        <v>32</v>
      </c>
      <c r="G162" t="s">
        <v>441</v>
      </c>
      <c r="H162" s="114">
        <v>2030</v>
      </c>
      <c r="I162">
        <f>IF([1]!TbRegistroSaídas[[#This Row],[Data do Caixa Realizado]]="",0,MONTH([1]!TbRegistroSaídas[[#This Row],[Data do Caixa Realizado]]))</f>
        <v>11</v>
      </c>
      <c r="J162">
        <f>IF([1]!TbRegistroSaídas[[#This Row],[Data do Caixa Realizado]]="",0,YEAR([1]!TbRegistroSaídas[[#This Row],[Data do Caixa Realizado]]))</f>
        <v>2018</v>
      </c>
      <c r="K162">
        <f>IF([1]!TbRegistroSaídas[[#This Row],[Data da Competência]]="",0,MONTH([1]!TbRegistroSaídas[[#This Row],[Data da Competência]]))</f>
        <v>11</v>
      </c>
      <c r="L162">
        <f>IF([1]!TbRegistroSaídas[[#This Row],[Data da Competência]]="",0,YEAR([1]!TbRegistroSaídas[[#This Row],[Data da Competência]]))</f>
        <v>2018</v>
      </c>
      <c r="M162">
        <f>IF([1]!TbRegistroSaídas[[#This Row],[Data do Caixa Previsto]]="",0,MONTH([1]!TbRegistroSaídas[[#This Row],[Data do Caixa Previsto]]))</f>
        <v>11</v>
      </c>
      <c r="N162">
        <f>IF([1]!TbRegistroSaídas[[#This Row],[Data do Caixa Previsto]]="",0,YEAR([1]!TbRegistroSaídas[[#This Row],[Data do Caixa Previsto]]))</f>
        <v>2018</v>
      </c>
      <c r="O16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63" spans="2:15" x14ac:dyDescent="0.25">
      <c r="B163" s="11">
        <v>43485.820929970221</v>
      </c>
      <c r="C163" s="11">
        <v>43436</v>
      </c>
      <c r="D163" s="11">
        <v>43485.820929970221</v>
      </c>
      <c r="E163" t="s">
        <v>36</v>
      </c>
      <c r="F163" t="s">
        <v>43</v>
      </c>
      <c r="G163" t="s">
        <v>442</v>
      </c>
      <c r="H163" s="114">
        <v>2117</v>
      </c>
      <c r="I163">
        <f>IF([1]!TbRegistroSaídas[[#This Row],[Data do Caixa Realizado]]="",0,MONTH([1]!TbRegistroSaídas[[#This Row],[Data do Caixa Realizado]]))</f>
        <v>1</v>
      </c>
      <c r="J163">
        <f>IF([1]!TbRegistroSaídas[[#This Row],[Data do Caixa Realizado]]="",0,YEAR([1]!TbRegistroSaídas[[#This Row],[Data do Caixa Realizado]]))</f>
        <v>2019</v>
      </c>
      <c r="K163">
        <f>IF([1]!TbRegistroSaídas[[#This Row],[Data da Competência]]="",0,MONTH([1]!TbRegistroSaídas[[#This Row],[Data da Competência]]))</f>
        <v>12</v>
      </c>
      <c r="L163">
        <f>IF([1]!TbRegistroSaídas[[#This Row],[Data da Competência]]="",0,YEAR([1]!TbRegistroSaídas[[#This Row],[Data da Competência]]))</f>
        <v>2018</v>
      </c>
      <c r="M163">
        <f>IF([1]!TbRegistroSaídas[[#This Row],[Data do Caixa Previsto]]="",0,MONTH([1]!TbRegistroSaídas[[#This Row],[Data do Caixa Previsto]]))</f>
        <v>1</v>
      </c>
      <c r="N163">
        <f>IF([1]!TbRegistroSaídas[[#This Row],[Data do Caixa Previsto]]="",0,YEAR([1]!TbRegistroSaídas[[#This Row],[Data do Caixa Previsto]]))</f>
        <v>2019</v>
      </c>
      <c r="O16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64" spans="2:15" x14ac:dyDescent="0.25">
      <c r="B164" s="11">
        <v>43494.750065134205</v>
      </c>
      <c r="C164" s="11">
        <v>43438</v>
      </c>
      <c r="D164" s="11">
        <v>43494.750065134205</v>
      </c>
      <c r="E164" t="s">
        <v>36</v>
      </c>
      <c r="F164" t="s">
        <v>43</v>
      </c>
      <c r="G164" t="s">
        <v>443</v>
      </c>
      <c r="H164" s="114">
        <v>1236</v>
      </c>
      <c r="I164">
        <f>IF([1]!TbRegistroSaídas[[#This Row],[Data do Caixa Realizado]]="",0,MONTH([1]!TbRegistroSaídas[[#This Row],[Data do Caixa Realizado]]))</f>
        <v>1</v>
      </c>
      <c r="J164">
        <f>IF([1]!TbRegistroSaídas[[#This Row],[Data do Caixa Realizado]]="",0,YEAR([1]!TbRegistroSaídas[[#This Row],[Data do Caixa Realizado]]))</f>
        <v>2019</v>
      </c>
      <c r="K164">
        <f>IF([1]!TbRegistroSaídas[[#This Row],[Data da Competência]]="",0,MONTH([1]!TbRegistroSaídas[[#This Row],[Data da Competência]]))</f>
        <v>12</v>
      </c>
      <c r="L164">
        <f>IF([1]!TbRegistroSaídas[[#This Row],[Data da Competência]]="",0,YEAR([1]!TbRegistroSaídas[[#This Row],[Data da Competência]]))</f>
        <v>2018</v>
      </c>
      <c r="M164">
        <f>IF([1]!TbRegistroSaídas[[#This Row],[Data do Caixa Previsto]]="",0,MONTH([1]!TbRegistroSaídas[[#This Row],[Data do Caixa Previsto]]))</f>
        <v>1</v>
      </c>
      <c r="N164">
        <f>IF([1]!TbRegistroSaídas[[#This Row],[Data do Caixa Previsto]]="",0,YEAR([1]!TbRegistroSaídas[[#This Row],[Data do Caixa Previsto]]))</f>
        <v>2019</v>
      </c>
      <c r="O16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65" spans="2:15" x14ac:dyDescent="0.25">
      <c r="B165" s="11">
        <v>43465.7468934922</v>
      </c>
      <c r="C165" s="11">
        <v>43443</v>
      </c>
      <c r="D165" s="11">
        <v>43465.7468934922</v>
      </c>
      <c r="E165" t="s">
        <v>36</v>
      </c>
      <c r="F165" t="s">
        <v>43</v>
      </c>
      <c r="G165" t="s">
        <v>444</v>
      </c>
      <c r="H165" s="114">
        <v>426</v>
      </c>
      <c r="I165">
        <f>IF([1]!TbRegistroSaídas[[#This Row],[Data do Caixa Realizado]]="",0,MONTH([1]!TbRegistroSaídas[[#This Row],[Data do Caixa Realizado]]))</f>
        <v>12</v>
      </c>
      <c r="J165">
        <f>IF([1]!TbRegistroSaídas[[#This Row],[Data do Caixa Realizado]]="",0,YEAR([1]!TbRegistroSaídas[[#This Row],[Data do Caixa Realizado]]))</f>
        <v>2018</v>
      </c>
      <c r="K165">
        <f>IF([1]!TbRegistroSaídas[[#This Row],[Data da Competência]]="",0,MONTH([1]!TbRegistroSaídas[[#This Row],[Data da Competência]]))</f>
        <v>12</v>
      </c>
      <c r="L165">
        <f>IF([1]!TbRegistroSaídas[[#This Row],[Data da Competência]]="",0,YEAR([1]!TbRegistroSaídas[[#This Row],[Data da Competência]]))</f>
        <v>2018</v>
      </c>
      <c r="M165">
        <f>IF([1]!TbRegistroSaídas[[#This Row],[Data do Caixa Previsto]]="",0,MONTH([1]!TbRegistroSaídas[[#This Row],[Data do Caixa Previsto]]))</f>
        <v>12</v>
      </c>
      <c r="N165">
        <f>IF([1]!TbRegistroSaídas[[#This Row],[Data do Caixa Previsto]]="",0,YEAR([1]!TbRegistroSaídas[[#This Row],[Data do Caixa Previsto]]))</f>
        <v>2018</v>
      </c>
      <c r="O16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66" spans="2:15" x14ac:dyDescent="0.25">
      <c r="B166" s="11">
        <v>43444</v>
      </c>
      <c r="C166" s="11">
        <v>43444</v>
      </c>
      <c r="D166" s="11">
        <v>43444</v>
      </c>
      <c r="E166" t="s">
        <v>36</v>
      </c>
      <c r="F166" t="s">
        <v>31</v>
      </c>
      <c r="G166" t="s">
        <v>445</v>
      </c>
      <c r="H166" s="114">
        <v>3956</v>
      </c>
      <c r="I166">
        <f>IF([1]!TbRegistroSaídas[[#This Row],[Data do Caixa Realizado]]="",0,MONTH([1]!TbRegistroSaídas[[#This Row],[Data do Caixa Realizado]]))</f>
        <v>12</v>
      </c>
      <c r="J166">
        <f>IF([1]!TbRegistroSaídas[[#This Row],[Data do Caixa Realizado]]="",0,YEAR([1]!TbRegistroSaídas[[#This Row],[Data do Caixa Realizado]]))</f>
        <v>2018</v>
      </c>
      <c r="K166">
        <f>IF([1]!TbRegistroSaídas[[#This Row],[Data da Competência]]="",0,MONTH([1]!TbRegistroSaídas[[#This Row],[Data da Competência]]))</f>
        <v>12</v>
      </c>
      <c r="L166">
        <f>IF([1]!TbRegistroSaídas[[#This Row],[Data da Competência]]="",0,YEAR([1]!TbRegistroSaídas[[#This Row],[Data da Competência]]))</f>
        <v>2018</v>
      </c>
      <c r="M166">
        <f>IF([1]!TbRegistroSaídas[[#This Row],[Data do Caixa Previsto]]="",0,MONTH([1]!TbRegistroSaídas[[#This Row],[Data do Caixa Previsto]]))</f>
        <v>12</v>
      </c>
      <c r="N166">
        <f>IF([1]!TbRegistroSaídas[[#This Row],[Data do Caixa Previsto]]="",0,YEAR([1]!TbRegistroSaídas[[#This Row],[Data do Caixa Previsto]]))</f>
        <v>2018</v>
      </c>
      <c r="O16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67" spans="2:15" x14ac:dyDescent="0.25">
      <c r="B167" s="11" t="s">
        <v>68</v>
      </c>
      <c r="C167" s="11">
        <v>43448</v>
      </c>
      <c r="D167" s="11">
        <v>43480.746977784853</v>
      </c>
      <c r="E167" t="s">
        <v>36</v>
      </c>
      <c r="F167" t="s">
        <v>43</v>
      </c>
      <c r="G167" t="s">
        <v>446</v>
      </c>
      <c r="H167" s="114">
        <v>3042</v>
      </c>
      <c r="I167">
        <f>IF([1]!TbRegistroSaídas[[#This Row],[Data do Caixa Realizado]]="",0,MONTH([1]!TbRegistroSaídas[[#This Row],[Data do Caixa Realizado]]))</f>
        <v>0</v>
      </c>
      <c r="J167">
        <f>IF([1]!TbRegistroSaídas[[#This Row],[Data do Caixa Realizado]]="",0,YEAR([1]!TbRegistroSaídas[[#This Row],[Data do Caixa Realizado]]))</f>
        <v>0</v>
      </c>
      <c r="K167">
        <f>IF([1]!TbRegistroSaídas[[#This Row],[Data da Competência]]="",0,MONTH([1]!TbRegistroSaídas[[#This Row],[Data da Competência]]))</f>
        <v>12</v>
      </c>
      <c r="L167">
        <f>IF([1]!TbRegistroSaídas[[#This Row],[Data da Competência]]="",0,YEAR([1]!TbRegistroSaídas[[#This Row],[Data da Competência]]))</f>
        <v>2018</v>
      </c>
      <c r="M167">
        <f>IF([1]!TbRegistroSaídas[[#This Row],[Data do Caixa Previsto]]="",0,MONTH([1]!TbRegistroSaídas[[#This Row],[Data do Caixa Previsto]]))</f>
        <v>1</v>
      </c>
      <c r="N167">
        <f>IF([1]!TbRegistroSaídas[[#This Row],[Data do Caixa Previsto]]="",0,YEAR([1]!TbRegistroSaídas[[#This Row],[Data do Caixa Previsto]]))</f>
        <v>2019</v>
      </c>
      <c r="O16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1872.2530222151472</v>
      </c>
    </row>
    <row r="168" spans="2:15" x14ac:dyDescent="0.25">
      <c r="B168" s="11">
        <v>43449</v>
      </c>
      <c r="C168" s="11">
        <v>43449</v>
      </c>
      <c r="D168" s="11">
        <v>43449</v>
      </c>
      <c r="E168" t="s">
        <v>36</v>
      </c>
      <c r="F168" t="s">
        <v>43</v>
      </c>
      <c r="G168" t="s">
        <v>447</v>
      </c>
      <c r="H168" s="114">
        <v>1434</v>
      </c>
      <c r="I168">
        <f>IF([1]!TbRegistroSaídas[[#This Row],[Data do Caixa Realizado]]="",0,MONTH([1]!TbRegistroSaídas[[#This Row],[Data do Caixa Realizado]]))</f>
        <v>12</v>
      </c>
      <c r="J168">
        <f>IF([1]!TbRegistroSaídas[[#This Row],[Data do Caixa Realizado]]="",0,YEAR([1]!TbRegistroSaídas[[#This Row],[Data do Caixa Realizado]]))</f>
        <v>2018</v>
      </c>
      <c r="K168">
        <f>IF([1]!TbRegistroSaídas[[#This Row],[Data da Competência]]="",0,MONTH([1]!TbRegistroSaídas[[#This Row],[Data da Competência]]))</f>
        <v>12</v>
      </c>
      <c r="L168">
        <f>IF([1]!TbRegistroSaídas[[#This Row],[Data da Competência]]="",0,YEAR([1]!TbRegistroSaídas[[#This Row],[Data da Competência]]))</f>
        <v>2018</v>
      </c>
      <c r="M168">
        <f>IF([1]!TbRegistroSaídas[[#This Row],[Data do Caixa Previsto]]="",0,MONTH([1]!TbRegistroSaídas[[#This Row],[Data do Caixa Previsto]]))</f>
        <v>12</v>
      </c>
      <c r="N168">
        <f>IF([1]!TbRegistroSaídas[[#This Row],[Data do Caixa Previsto]]="",0,YEAR([1]!TbRegistroSaídas[[#This Row],[Data do Caixa Previsto]]))</f>
        <v>2018</v>
      </c>
      <c r="O16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69" spans="2:15" x14ac:dyDescent="0.25">
      <c r="B169" s="11">
        <v>43487.188431641203</v>
      </c>
      <c r="C169" s="11">
        <v>43452</v>
      </c>
      <c r="D169" s="11">
        <v>43487.188431641203</v>
      </c>
      <c r="E169" t="s">
        <v>36</v>
      </c>
      <c r="F169" t="s">
        <v>35</v>
      </c>
      <c r="G169" t="s">
        <v>448</v>
      </c>
      <c r="H169" s="114">
        <v>1782</v>
      </c>
      <c r="I169">
        <f>IF([1]!TbRegistroSaídas[[#This Row],[Data do Caixa Realizado]]="",0,MONTH([1]!TbRegistroSaídas[[#This Row],[Data do Caixa Realizado]]))</f>
        <v>1</v>
      </c>
      <c r="J169">
        <f>IF([1]!TbRegistroSaídas[[#This Row],[Data do Caixa Realizado]]="",0,YEAR([1]!TbRegistroSaídas[[#This Row],[Data do Caixa Realizado]]))</f>
        <v>2019</v>
      </c>
      <c r="K169">
        <f>IF([1]!TbRegistroSaídas[[#This Row],[Data da Competência]]="",0,MONTH([1]!TbRegistroSaídas[[#This Row],[Data da Competência]]))</f>
        <v>12</v>
      </c>
      <c r="L169">
        <f>IF([1]!TbRegistroSaídas[[#This Row],[Data da Competência]]="",0,YEAR([1]!TbRegistroSaídas[[#This Row],[Data da Competência]]))</f>
        <v>2018</v>
      </c>
      <c r="M169">
        <f>IF([1]!TbRegistroSaídas[[#This Row],[Data do Caixa Previsto]]="",0,MONTH([1]!TbRegistroSaídas[[#This Row],[Data do Caixa Previsto]]))</f>
        <v>1</v>
      </c>
      <c r="N169">
        <f>IF([1]!TbRegistroSaídas[[#This Row],[Data do Caixa Previsto]]="",0,YEAR([1]!TbRegistroSaídas[[#This Row],[Data do Caixa Previsto]]))</f>
        <v>2019</v>
      </c>
      <c r="O16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70" spans="2:15" x14ac:dyDescent="0.25">
      <c r="B170" s="11">
        <v>43514.403187421965</v>
      </c>
      <c r="C170" s="11">
        <v>43459</v>
      </c>
      <c r="D170" s="11">
        <v>43514.403187421965</v>
      </c>
      <c r="E170" t="s">
        <v>36</v>
      </c>
      <c r="F170" t="s">
        <v>43</v>
      </c>
      <c r="G170" t="s">
        <v>449</v>
      </c>
      <c r="H170" s="114">
        <v>365</v>
      </c>
      <c r="I170">
        <f>IF([1]!TbRegistroSaídas[[#This Row],[Data do Caixa Realizado]]="",0,MONTH([1]!TbRegistroSaídas[[#This Row],[Data do Caixa Realizado]]))</f>
        <v>2</v>
      </c>
      <c r="J170">
        <f>IF([1]!TbRegistroSaídas[[#This Row],[Data do Caixa Realizado]]="",0,YEAR([1]!TbRegistroSaídas[[#This Row],[Data do Caixa Realizado]]))</f>
        <v>2019</v>
      </c>
      <c r="K170">
        <f>IF([1]!TbRegistroSaídas[[#This Row],[Data da Competência]]="",0,MONTH([1]!TbRegistroSaídas[[#This Row],[Data da Competência]]))</f>
        <v>12</v>
      </c>
      <c r="L170">
        <f>IF([1]!TbRegistroSaídas[[#This Row],[Data da Competência]]="",0,YEAR([1]!TbRegistroSaídas[[#This Row],[Data da Competência]]))</f>
        <v>2018</v>
      </c>
      <c r="M170">
        <f>IF([1]!TbRegistroSaídas[[#This Row],[Data do Caixa Previsto]]="",0,MONTH([1]!TbRegistroSaídas[[#This Row],[Data do Caixa Previsto]]))</f>
        <v>2</v>
      </c>
      <c r="N170">
        <f>IF([1]!TbRegistroSaídas[[#This Row],[Data do Caixa Previsto]]="",0,YEAR([1]!TbRegistroSaídas[[#This Row],[Data do Caixa Previsto]]))</f>
        <v>2019</v>
      </c>
      <c r="O17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71" spans="2:15" x14ac:dyDescent="0.25">
      <c r="B171" s="11">
        <v>43491.679228472654</v>
      </c>
      <c r="C171" s="11">
        <v>43461</v>
      </c>
      <c r="D171" s="11">
        <v>43491.679228472654</v>
      </c>
      <c r="E171" t="s">
        <v>36</v>
      </c>
      <c r="F171" t="s">
        <v>43</v>
      </c>
      <c r="G171" t="s">
        <v>450</v>
      </c>
      <c r="H171" s="114">
        <v>2757</v>
      </c>
      <c r="I171">
        <f>IF([1]!TbRegistroSaídas[[#This Row],[Data do Caixa Realizado]]="",0,MONTH([1]!TbRegistroSaídas[[#This Row],[Data do Caixa Realizado]]))</f>
        <v>1</v>
      </c>
      <c r="J171">
        <f>IF([1]!TbRegistroSaídas[[#This Row],[Data do Caixa Realizado]]="",0,YEAR([1]!TbRegistroSaídas[[#This Row],[Data do Caixa Realizado]]))</f>
        <v>2019</v>
      </c>
      <c r="K171">
        <f>IF([1]!TbRegistroSaídas[[#This Row],[Data da Competência]]="",0,MONTH([1]!TbRegistroSaídas[[#This Row],[Data da Competência]]))</f>
        <v>12</v>
      </c>
      <c r="L171">
        <f>IF([1]!TbRegistroSaídas[[#This Row],[Data da Competência]]="",0,YEAR([1]!TbRegistroSaídas[[#This Row],[Data da Competência]]))</f>
        <v>2018</v>
      </c>
      <c r="M171">
        <f>IF([1]!TbRegistroSaídas[[#This Row],[Data do Caixa Previsto]]="",0,MONTH([1]!TbRegistroSaídas[[#This Row],[Data do Caixa Previsto]]))</f>
        <v>1</v>
      </c>
      <c r="N171">
        <f>IF([1]!TbRegistroSaídas[[#This Row],[Data do Caixa Previsto]]="",0,YEAR([1]!TbRegistroSaídas[[#This Row],[Data do Caixa Previsto]]))</f>
        <v>2019</v>
      </c>
      <c r="O17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72" spans="2:15" x14ac:dyDescent="0.25">
      <c r="B172" s="11">
        <v>43515.206907104708</v>
      </c>
      <c r="C172" s="11">
        <v>43464</v>
      </c>
      <c r="D172" s="11">
        <v>43515.206907104708</v>
      </c>
      <c r="E172" t="s">
        <v>36</v>
      </c>
      <c r="F172" t="s">
        <v>35</v>
      </c>
      <c r="G172" t="s">
        <v>451</v>
      </c>
      <c r="H172" s="114">
        <v>2112</v>
      </c>
      <c r="I172">
        <f>IF([1]!TbRegistroSaídas[[#This Row],[Data do Caixa Realizado]]="",0,MONTH([1]!TbRegistroSaídas[[#This Row],[Data do Caixa Realizado]]))</f>
        <v>2</v>
      </c>
      <c r="J172">
        <f>IF([1]!TbRegistroSaídas[[#This Row],[Data do Caixa Realizado]]="",0,YEAR([1]!TbRegistroSaídas[[#This Row],[Data do Caixa Realizado]]))</f>
        <v>2019</v>
      </c>
      <c r="K172">
        <f>IF([1]!TbRegistroSaídas[[#This Row],[Data da Competência]]="",0,MONTH([1]!TbRegistroSaídas[[#This Row],[Data da Competência]]))</f>
        <v>12</v>
      </c>
      <c r="L172">
        <f>IF([1]!TbRegistroSaídas[[#This Row],[Data da Competência]]="",0,YEAR([1]!TbRegistroSaídas[[#This Row],[Data da Competência]]))</f>
        <v>2018</v>
      </c>
      <c r="M172">
        <f>IF([1]!TbRegistroSaídas[[#This Row],[Data do Caixa Previsto]]="",0,MONTH([1]!TbRegistroSaídas[[#This Row],[Data do Caixa Previsto]]))</f>
        <v>2</v>
      </c>
      <c r="N172">
        <f>IF([1]!TbRegistroSaídas[[#This Row],[Data do Caixa Previsto]]="",0,YEAR([1]!TbRegistroSaídas[[#This Row],[Data do Caixa Previsto]]))</f>
        <v>2019</v>
      </c>
      <c r="O17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73" spans="2:15" x14ac:dyDescent="0.25">
      <c r="B173" s="11">
        <v>43467</v>
      </c>
      <c r="C173" s="11">
        <v>43467</v>
      </c>
      <c r="D173" s="11">
        <v>43467</v>
      </c>
      <c r="E173" t="s">
        <v>36</v>
      </c>
      <c r="F173" t="s">
        <v>35</v>
      </c>
      <c r="G173" t="s">
        <v>452</v>
      </c>
      <c r="H173" s="114">
        <v>2190</v>
      </c>
      <c r="I173">
        <f>IF([1]!TbRegistroSaídas[[#This Row],[Data do Caixa Realizado]]="",0,MONTH([1]!TbRegistroSaídas[[#This Row],[Data do Caixa Realizado]]))</f>
        <v>1</v>
      </c>
      <c r="J173">
        <f>IF([1]!TbRegistroSaídas[[#This Row],[Data do Caixa Realizado]]="",0,YEAR([1]!TbRegistroSaídas[[#This Row],[Data do Caixa Realizado]]))</f>
        <v>2019</v>
      </c>
      <c r="K173">
        <f>IF([1]!TbRegistroSaídas[[#This Row],[Data da Competência]]="",0,MONTH([1]!TbRegistroSaídas[[#This Row],[Data da Competência]]))</f>
        <v>1</v>
      </c>
      <c r="L173">
        <f>IF([1]!TbRegistroSaídas[[#This Row],[Data da Competência]]="",0,YEAR([1]!TbRegistroSaídas[[#This Row],[Data da Competência]]))</f>
        <v>2019</v>
      </c>
      <c r="M173">
        <f>IF([1]!TbRegistroSaídas[[#This Row],[Data do Caixa Previsto]]="",0,MONTH([1]!TbRegistroSaídas[[#This Row],[Data do Caixa Previsto]]))</f>
        <v>1</v>
      </c>
      <c r="N173">
        <f>IF([1]!TbRegistroSaídas[[#This Row],[Data do Caixa Previsto]]="",0,YEAR([1]!TbRegistroSaídas[[#This Row],[Data do Caixa Previsto]]))</f>
        <v>2019</v>
      </c>
      <c r="O17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74" spans="2:15" x14ac:dyDescent="0.25">
      <c r="B174" s="11">
        <v>43485.642328387614</v>
      </c>
      <c r="C174" s="11">
        <v>43469</v>
      </c>
      <c r="D174" s="11">
        <v>43485.642328387614</v>
      </c>
      <c r="E174" t="s">
        <v>36</v>
      </c>
      <c r="F174" t="s">
        <v>43</v>
      </c>
      <c r="G174" t="s">
        <v>453</v>
      </c>
      <c r="H174" s="114">
        <v>2998</v>
      </c>
      <c r="I174">
        <f>IF([1]!TbRegistroSaídas[[#This Row],[Data do Caixa Realizado]]="",0,MONTH([1]!TbRegistroSaídas[[#This Row],[Data do Caixa Realizado]]))</f>
        <v>1</v>
      </c>
      <c r="J174">
        <f>IF([1]!TbRegistroSaídas[[#This Row],[Data do Caixa Realizado]]="",0,YEAR([1]!TbRegistroSaídas[[#This Row],[Data do Caixa Realizado]]))</f>
        <v>2019</v>
      </c>
      <c r="K174">
        <f>IF([1]!TbRegistroSaídas[[#This Row],[Data da Competência]]="",0,MONTH([1]!TbRegistroSaídas[[#This Row],[Data da Competência]]))</f>
        <v>1</v>
      </c>
      <c r="L174">
        <f>IF([1]!TbRegistroSaídas[[#This Row],[Data da Competência]]="",0,YEAR([1]!TbRegistroSaídas[[#This Row],[Data da Competência]]))</f>
        <v>2019</v>
      </c>
      <c r="M174">
        <f>IF([1]!TbRegistroSaídas[[#This Row],[Data do Caixa Previsto]]="",0,MONTH([1]!TbRegistroSaídas[[#This Row],[Data do Caixa Previsto]]))</f>
        <v>1</v>
      </c>
      <c r="N174">
        <f>IF([1]!TbRegistroSaídas[[#This Row],[Data do Caixa Previsto]]="",0,YEAR([1]!TbRegistroSaídas[[#This Row],[Data do Caixa Previsto]]))</f>
        <v>2019</v>
      </c>
      <c r="O17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75" spans="2:15" x14ac:dyDescent="0.25">
      <c r="B175" s="11">
        <v>43501.032672097659</v>
      </c>
      <c r="C175" s="11">
        <v>43476</v>
      </c>
      <c r="D175" s="11">
        <v>43501.032672097659</v>
      </c>
      <c r="E175" t="s">
        <v>36</v>
      </c>
      <c r="F175" t="s">
        <v>43</v>
      </c>
      <c r="G175" t="s">
        <v>454</v>
      </c>
      <c r="H175" s="114">
        <v>3808</v>
      </c>
      <c r="I175">
        <f>IF([1]!TbRegistroSaídas[[#This Row],[Data do Caixa Realizado]]="",0,MONTH([1]!TbRegistroSaídas[[#This Row],[Data do Caixa Realizado]]))</f>
        <v>2</v>
      </c>
      <c r="J175">
        <f>IF([1]!TbRegistroSaídas[[#This Row],[Data do Caixa Realizado]]="",0,YEAR([1]!TbRegistroSaídas[[#This Row],[Data do Caixa Realizado]]))</f>
        <v>2019</v>
      </c>
      <c r="K175">
        <f>IF([1]!TbRegistroSaídas[[#This Row],[Data da Competência]]="",0,MONTH([1]!TbRegistroSaídas[[#This Row],[Data da Competência]]))</f>
        <v>1</v>
      </c>
      <c r="L175">
        <f>IF([1]!TbRegistroSaídas[[#This Row],[Data da Competência]]="",0,YEAR([1]!TbRegistroSaídas[[#This Row],[Data da Competência]]))</f>
        <v>2019</v>
      </c>
      <c r="M175">
        <f>IF([1]!TbRegistroSaídas[[#This Row],[Data do Caixa Previsto]]="",0,MONTH([1]!TbRegistroSaídas[[#This Row],[Data do Caixa Previsto]]))</f>
        <v>2</v>
      </c>
      <c r="N175">
        <f>IF([1]!TbRegistroSaídas[[#This Row],[Data do Caixa Previsto]]="",0,YEAR([1]!TbRegistroSaídas[[#This Row],[Data do Caixa Previsto]]))</f>
        <v>2019</v>
      </c>
      <c r="O17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76" spans="2:15" x14ac:dyDescent="0.25">
      <c r="B176" s="11">
        <v>43569.069332262581</v>
      </c>
      <c r="C176" s="11">
        <v>43479</v>
      </c>
      <c r="D176" s="11">
        <v>43495.478907818499</v>
      </c>
      <c r="E176" t="s">
        <v>36</v>
      </c>
      <c r="F176" t="s">
        <v>43</v>
      </c>
      <c r="G176" t="s">
        <v>455</v>
      </c>
      <c r="H176" s="114">
        <v>4928</v>
      </c>
      <c r="I176">
        <f>IF([1]!TbRegistroSaídas[[#This Row],[Data do Caixa Realizado]]="",0,MONTH([1]!TbRegistroSaídas[[#This Row],[Data do Caixa Realizado]]))</f>
        <v>4</v>
      </c>
      <c r="J176">
        <f>IF([1]!TbRegistroSaídas[[#This Row],[Data do Caixa Realizado]]="",0,YEAR([1]!TbRegistroSaídas[[#This Row],[Data do Caixa Realizado]]))</f>
        <v>2019</v>
      </c>
      <c r="K176">
        <f>IF([1]!TbRegistroSaídas[[#This Row],[Data da Competência]]="",0,MONTH([1]!TbRegistroSaídas[[#This Row],[Data da Competência]]))</f>
        <v>1</v>
      </c>
      <c r="L176">
        <f>IF([1]!TbRegistroSaídas[[#This Row],[Data da Competência]]="",0,YEAR([1]!TbRegistroSaídas[[#This Row],[Data da Competência]]))</f>
        <v>2019</v>
      </c>
      <c r="M176">
        <f>IF([1]!TbRegistroSaídas[[#This Row],[Data do Caixa Previsto]]="",0,MONTH([1]!TbRegistroSaídas[[#This Row],[Data do Caixa Previsto]]))</f>
        <v>1</v>
      </c>
      <c r="N176">
        <f>IF([1]!TbRegistroSaídas[[#This Row],[Data do Caixa Previsto]]="",0,YEAR([1]!TbRegistroSaídas[[#This Row],[Data do Caixa Previsto]]))</f>
        <v>2019</v>
      </c>
      <c r="O17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73.590424444082601</v>
      </c>
    </row>
    <row r="177" spans="2:15" x14ac:dyDescent="0.25">
      <c r="B177" s="11">
        <v>43482</v>
      </c>
      <c r="C177" s="11">
        <v>43482</v>
      </c>
      <c r="D177" s="11">
        <v>43482</v>
      </c>
      <c r="E177" t="s">
        <v>36</v>
      </c>
      <c r="F177" t="s">
        <v>35</v>
      </c>
      <c r="G177" t="s">
        <v>456</v>
      </c>
      <c r="H177" s="114">
        <v>4179</v>
      </c>
      <c r="I177">
        <f>IF([1]!TbRegistroSaídas[[#This Row],[Data do Caixa Realizado]]="",0,MONTH([1]!TbRegistroSaídas[[#This Row],[Data do Caixa Realizado]]))</f>
        <v>1</v>
      </c>
      <c r="J177">
        <f>IF([1]!TbRegistroSaídas[[#This Row],[Data do Caixa Realizado]]="",0,YEAR([1]!TbRegistroSaídas[[#This Row],[Data do Caixa Realizado]]))</f>
        <v>2019</v>
      </c>
      <c r="K177">
        <f>IF([1]!TbRegistroSaídas[[#This Row],[Data da Competência]]="",0,MONTH([1]!TbRegistroSaídas[[#This Row],[Data da Competência]]))</f>
        <v>1</v>
      </c>
      <c r="L177">
        <f>IF([1]!TbRegistroSaídas[[#This Row],[Data da Competência]]="",0,YEAR([1]!TbRegistroSaídas[[#This Row],[Data da Competência]]))</f>
        <v>2019</v>
      </c>
      <c r="M177">
        <f>IF([1]!TbRegistroSaídas[[#This Row],[Data do Caixa Previsto]]="",0,MONTH([1]!TbRegistroSaídas[[#This Row],[Data do Caixa Previsto]]))</f>
        <v>1</v>
      </c>
      <c r="N177">
        <f>IF([1]!TbRegistroSaídas[[#This Row],[Data do Caixa Previsto]]="",0,YEAR([1]!TbRegistroSaídas[[#This Row],[Data do Caixa Previsto]]))</f>
        <v>2019</v>
      </c>
      <c r="O17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78" spans="2:15" x14ac:dyDescent="0.25">
      <c r="B178" s="11">
        <v>43499.993512821027</v>
      </c>
      <c r="C178" s="11">
        <v>43484</v>
      </c>
      <c r="D178" s="11">
        <v>43499.993512821027</v>
      </c>
      <c r="E178" t="s">
        <v>36</v>
      </c>
      <c r="F178" t="s">
        <v>31</v>
      </c>
      <c r="G178" t="s">
        <v>457</v>
      </c>
      <c r="H178" s="114">
        <v>4896</v>
      </c>
      <c r="I178">
        <f>IF([1]!TbRegistroSaídas[[#This Row],[Data do Caixa Realizado]]="",0,MONTH([1]!TbRegistroSaídas[[#This Row],[Data do Caixa Realizado]]))</f>
        <v>2</v>
      </c>
      <c r="J178">
        <f>IF([1]!TbRegistroSaídas[[#This Row],[Data do Caixa Realizado]]="",0,YEAR([1]!TbRegistroSaídas[[#This Row],[Data do Caixa Realizado]]))</f>
        <v>2019</v>
      </c>
      <c r="K178">
        <f>IF([1]!TbRegistroSaídas[[#This Row],[Data da Competência]]="",0,MONTH([1]!TbRegistroSaídas[[#This Row],[Data da Competência]]))</f>
        <v>1</v>
      </c>
      <c r="L178">
        <f>IF([1]!TbRegistroSaídas[[#This Row],[Data da Competência]]="",0,YEAR([1]!TbRegistroSaídas[[#This Row],[Data da Competência]]))</f>
        <v>2019</v>
      </c>
      <c r="M178">
        <f>IF([1]!TbRegistroSaídas[[#This Row],[Data do Caixa Previsto]]="",0,MONTH([1]!TbRegistroSaídas[[#This Row],[Data do Caixa Previsto]]))</f>
        <v>2</v>
      </c>
      <c r="N178">
        <f>IF([1]!TbRegistroSaídas[[#This Row],[Data do Caixa Previsto]]="",0,YEAR([1]!TbRegistroSaídas[[#This Row],[Data do Caixa Previsto]]))</f>
        <v>2019</v>
      </c>
      <c r="O17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79" spans="2:15" x14ac:dyDescent="0.25">
      <c r="B179" s="11">
        <v>43487</v>
      </c>
      <c r="C179" s="11">
        <v>43487</v>
      </c>
      <c r="D179" s="11">
        <v>43487</v>
      </c>
      <c r="E179" t="s">
        <v>36</v>
      </c>
      <c r="F179" t="s">
        <v>35</v>
      </c>
      <c r="G179" t="s">
        <v>373</v>
      </c>
      <c r="H179" s="114">
        <v>4092</v>
      </c>
      <c r="I179">
        <f>IF([1]!TbRegistroSaídas[[#This Row],[Data do Caixa Realizado]]="",0,MONTH([1]!TbRegistroSaídas[[#This Row],[Data do Caixa Realizado]]))</f>
        <v>1</v>
      </c>
      <c r="J179">
        <f>IF([1]!TbRegistroSaídas[[#This Row],[Data do Caixa Realizado]]="",0,YEAR([1]!TbRegistroSaídas[[#This Row],[Data do Caixa Realizado]]))</f>
        <v>2019</v>
      </c>
      <c r="K179">
        <f>IF([1]!TbRegistroSaídas[[#This Row],[Data da Competência]]="",0,MONTH([1]!TbRegistroSaídas[[#This Row],[Data da Competência]]))</f>
        <v>1</v>
      </c>
      <c r="L179">
        <f>IF([1]!TbRegistroSaídas[[#This Row],[Data da Competência]]="",0,YEAR([1]!TbRegistroSaídas[[#This Row],[Data da Competência]]))</f>
        <v>2019</v>
      </c>
      <c r="M179">
        <f>IF([1]!TbRegistroSaídas[[#This Row],[Data do Caixa Previsto]]="",0,MONTH([1]!TbRegistroSaídas[[#This Row],[Data do Caixa Previsto]]))</f>
        <v>1</v>
      </c>
      <c r="N179">
        <f>IF([1]!TbRegistroSaídas[[#This Row],[Data do Caixa Previsto]]="",0,YEAR([1]!TbRegistroSaídas[[#This Row],[Data do Caixa Previsto]]))</f>
        <v>2019</v>
      </c>
      <c r="O17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80" spans="2:15" x14ac:dyDescent="0.25">
      <c r="B180" s="11">
        <v>43492</v>
      </c>
      <c r="C180" s="11">
        <v>43492</v>
      </c>
      <c r="D180" s="11">
        <v>43492</v>
      </c>
      <c r="E180" t="s">
        <v>36</v>
      </c>
      <c r="F180" t="s">
        <v>43</v>
      </c>
      <c r="G180" t="s">
        <v>458</v>
      </c>
      <c r="H180" s="114">
        <v>2956</v>
      </c>
      <c r="I180">
        <f>IF([1]!TbRegistroSaídas[[#This Row],[Data do Caixa Realizado]]="",0,MONTH([1]!TbRegistroSaídas[[#This Row],[Data do Caixa Realizado]]))</f>
        <v>1</v>
      </c>
      <c r="J180">
        <f>IF([1]!TbRegistroSaídas[[#This Row],[Data do Caixa Realizado]]="",0,YEAR([1]!TbRegistroSaídas[[#This Row],[Data do Caixa Realizado]]))</f>
        <v>2019</v>
      </c>
      <c r="K180">
        <f>IF([1]!TbRegistroSaídas[[#This Row],[Data da Competência]]="",0,MONTH([1]!TbRegistroSaídas[[#This Row],[Data da Competência]]))</f>
        <v>1</v>
      </c>
      <c r="L180">
        <f>IF([1]!TbRegistroSaídas[[#This Row],[Data da Competência]]="",0,YEAR([1]!TbRegistroSaídas[[#This Row],[Data da Competência]]))</f>
        <v>2019</v>
      </c>
      <c r="M180">
        <f>IF([1]!TbRegistroSaídas[[#This Row],[Data do Caixa Previsto]]="",0,MONTH([1]!TbRegistroSaídas[[#This Row],[Data do Caixa Previsto]]))</f>
        <v>1</v>
      </c>
      <c r="N180">
        <f>IF([1]!TbRegistroSaídas[[#This Row],[Data do Caixa Previsto]]="",0,YEAR([1]!TbRegistroSaídas[[#This Row],[Data do Caixa Previsto]]))</f>
        <v>2019</v>
      </c>
      <c r="O18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81" spans="2:15" x14ac:dyDescent="0.25">
      <c r="B181" s="11" t="s">
        <v>68</v>
      </c>
      <c r="C181" s="11">
        <v>43496</v>
      </c>
      <c r="D181" s="11">
        <v>43509.777939985303</v>
      </c>
      <c r="E181" t="s">
        <v>36</v>
      </c>
      <c r="F181" t="s">
        <v>35</v>
      </c>
      <c r="G181" t="s">
        <v>459</v>
      </c>
      <c r="H181" s="114">
        <v>533</v>
      </c>
      <c r="I181">
        <f>IF([1]!TbRegistroSaídas[[#This Row],[Data do Caixa Realizado]]="",0,MONTH([1]!TbRegistroSaídas[[#This Row],[Data do Caixa Realizado]]))</f>
        <v>0</v>
      </c>
      <c r="J181">
        <f>IF([1]!TbRegistroSaídas[[#This Row],[Data do Caixa Realizado]]="",0,YEAR([1]!TbRegistroSaídas[[#This Row],[Data do Caixa Realizado]]))</f>
        <v>0</v>
      </c>
      <c r="K181">
        <f>IF([1]!TbRegistroSaídas[[#This Row],[Data da Competência]]="",0,MONTH([1]!TbRegistroSaídas[[#This Row],[Data da Competência]]))</f>
        <v>1</v>
      </c>
      <c r="L181">
        <f>IF([1]!TbRegistroSaídas[[#This Row],[Data da Competência]]="",0,YEAR([1]!TbRegistroSaídas[[#This Row],[Data da Competência]]))</f>
        <v>2019</v>
      </c>
      <c r="M181">
        <f>IF([1]!TbRegistroSaídas[[#This Row],[Data do Caixa Previsto]]="",0,MONTH([1]!TbRegistroSaídas[[#This Row],[Data do Caixa Previsto]]))</f>
        <v>2</v>
      </c>
      <c r="N181">
        <f>IF([1]!TbRegistroSaídas[[#This Row],[Data do Caixa Previsto]]="",0,YEAR([1]!TbRegistroSaídas[[#This Row],[Data do Caixa Previsto]]))</f>
        <v>2019</v>
      </c>
      <c r="O18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1843.2220600146975</v>
      </c>
    </row>
    <row r="182" spans="2:15" x14ac:dyDescent="0.25">
      <c r="B182" s="11">
        <v>43520.73063092697</v>
      </c>
      <c r="C182" s="11">
        <v>43497</v>
      </c>
      <c r="D182" s="11">
        <v>43520.73063092697</v>
      </c>
      <c r="E182" t="s">
        <v>36</v>
      </c>
      <c r="F182" t="s">
        <v>32</v>
      </c>
      <c r="G182" t="s">
        <v>460</v>
      </c>
      <c r="H182" s="114">
        <v>3519</v>
      </c>
      <c r="I182">
        <f>IF([1]!TbRegistroSaídas[[#This Row],[Data do Caixa Realizado]]="",0,MONTH([1]!TbRegistroSaídas[[#This Row],[Data do Caixa Realizado]]))</f>
        <v>2</v>
      </c>
      <c r="J182">
        <f>IF([1]!TbRegistroSaídas[[#This Row],[Data do Caixa Realizado]]="",0,YEAR([1]!TbRegistroSaídas[[#This Row],[Data do Caixa Realizado]]))</f>
        <v>2019</v>
      </c>
      <c r="K182">
        <f>IF([1]!TbRegistroSaídas[[#This Row],[Data da Competência]]="",0,MONTH([1]!TbRegistroSaídas[[#This Row],[Data da Competência]]))</f>
        <v>2</v>
      </c>
      <c r="L182">
        <f>IF([1]!TbRegistroSaídas[[#This Row],[Data da Competência]]="",0,YEAR([1]!TbRegistroSaídas[[#This Row],[Data da Competência]]))</f>
        <v>2019</v>
      </c>
      <c r="M182">
        <f>IF([1]!TbRegistroSaídas[[#This Row],[Data do Caixa Previsto]]="",0,MONTH([1]!TbRegistroSaídas[[#This Row],[Data do Caixa Previsto]]))</f>
        <v>2</v>
      </c>
      <c r="N182">
        <f>IF([1]!TbRegistroSaídas[[#This Row],[Data do Caixa Previsto]]="",0,YEAR([1]!TbRegistroSaídas[[#This Row],[Data do Caixa Previsto]]))</f>
        <v>2019</v>
      </c>
      <c r="O18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83" spans="2:15" x14ac:dyDescent="0.25">
      <c r="B183" s="11">
        <v>43499</v>
      </c>
      <c r="C183" s="11">
        <v>43499</v>
      </c>
      <c r="D183" s="11">
        <v>43499</v>
      </c>
      <c r="E183" t="s">
        <v>36</v>
      </c>
      <c r="F183" t="s">
        <v>31</v>
      </c>
      <c r="G183" t="s">
        <v>461</v>
      </c>
      <c r="H183" s="114">
        <v>757</v>
      </c>
      <c r="I183">
        <f>IF([1]!TbRegistroSaídas[[#This Row],[Data do Caixa Realizado]]="",0,MONTH([1]!TbRegistroSaídas[[#This Row],[Data do Caixa Realizado]]))</f>
        <v>2</v>
      </c>
      <c r="J183">
        <f>IF([1]!TbRegistroSaídas[[#This Row],[Data do Caixa Realizado]]="",0,YEAR([1]!TbRegistroSaídas[[#This Row],[Data do Caixa Realizado]]))</f>
        <v>2019</v>
      </c>
      <c r="K183">
        <f>IF([1]!TbRegistroSaídas[[#This Row],[Data da Competência]]="",0,MONTH([1]!TbRegistroSaídas[[#This Row],[Data da Competência]]))</f>
        <v>2</v>
      </c>
      <c r="L183">
        <f>IF([1]!TbRegistroSaídas[[#This Row],[Data da Competência]]="",0,YEAR([1]!TbRegistroSaídas[[#This Row],[Data da Competência]]))</f>
        <v>2019</v>
      </c>
      <c r="M183">
        <f>IF([1]!TbRegistroSaídas[[#This Row],[Data do Caixa Previsto]]="",0,MONTH([1]!TbRegistroSaídas[[#This Row],[Data do Caixa Previsto]]))</f>
        <v>2</v>
      </c>
      <c r="N183">
        <f>IF([1]!TbRegistroSaídas[[#This Row],[Data do Caixa Previsto]]="",0,YEAR([1]!TbRegistroSaídas[[#This Row],[Data do Caixa Previsto]]))</f>
        <v>2019</v>
      </c>
      <c r="O18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84" spans="2:15" x14ac:dyDescent="0.25">
      <c r="B184" s="11" t="s">
        <v>68</v>
      </c>
      <c r="C184" s="11">
        <v>43503</v>
      </c>
      <c r="D184" s="11">
        <v>43503</v>
      </c>
      <c r="E184" t="s">
        <v>36</v>
      </c>
      <c r="F184" t="s">
        <v>43</v>
      </c>
      <c r="G184" t="s">
        <v>462</v>
      </c>
      <c r="H184" s="114">
        <v>2688</v>
      </c>
      <c r="I184">
        <f>IF([1]!TbRegistroSaídas[[#This Row],[Data do Caixa Realizado]]="",0,MONTH([1]!TbRegistroSaídas[[#This Row],[Data do Caixa Realizado]]))</f>
        <v>0</v>
      </c>
      <c r="J184">
        <f>IF([1]!TbRegistroSaídas[[#This Row],[Data do Caixa Realizado]]="",0,YEAR([1]!TbRegistroSaídas[[#This Row],[Data do Caixa Realizado]]))</f>
        <v>0</v>
      </c>
      <c r="K184">
        <f>IF([1]!TbRegistroSaídas[[#This Row],[Data da Competência]]="",0,MONTH([1]!TbRegistroSaídas[[#This Row],[Data da Competência]]))</f>
        <v>2</v>
      </c>
      <c r="L184">
        <f>IF([1]!TbRegistroSaídas[[#This Row],[Data da Competência]]="",0,YEAR([1]!TbRegistroSaídas[[#This Row],[Data da Competência]]))</f>
        <v>2019</v>
      </c>
      <c r="M184">
        <f>IF([1]!TbRegistroSaídas[[#This Row],[Data do Caixa Previsto]]="",0,MONTH([1]!TbRegistroSaídas[[#This Row],[Data do Caixa Previsto]]))</f>
        <v>2</v>
      </c>
      <c r="N184">
        <f>IF([1]!TbRegistroSaídas[[#This Row],[Data do Caixa Previsto]]="",0,YEAR([1]!TbRegistroSaídas[[#This Row],[Data do Caixa Previsto]]))</f>
        <v>2019</v>
      </c>
      <c r="O18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1850</v>
      </c>
    </row>
    <row r="185" spans="2:15" x14ac:dyDescent="0.25">
      <c r="B185" s="11">
        <v>43505</v>
      </c>
      <c r="C185" s="11">
        <v>43505</v>
      </c>
      <c r="D185" s="11">
        <v>43505</v>
      </c>
      <c r="E185" t="s">
        <v>36</v>
      </c>
      <c r="F185" t="s">
        <v>33</v>
      </c>
      <c r="G185" t="s">
        <v>463</v>
      </c>
      <c r="H185" s="114">
        <v>340</v>
      </c>
      <c r="I185">
        <f>IF([1]!TbRegistroSaídas[[#This Row],[Data do Caixa Realizado]]="",0,MONTH([1]!TbRegistroSaídas[[#This Row],[Data do Caixa Realizado]]))</f>
        <v>2</v>
      </c>
      <c r="J185">
        <f>IF([1]!TbRegistroSaídas[[#This Row],[Data do Caixa Realizado]]="",0,YEAR([1]!TbRegistroSaídas[[#This Row],[Data do Caixa Realizado]]))</f>
        <v>2019</v>
      </c>
      <c r="K185">
        <f>IF([1]!TbRegistroSaídas[[#This Row],[Data da Competência]]="",0,MONTH([1]!TbRegistroSaídas[[#This Row],[Data da Competência]]))</f>
        <v>2</v>
      </c>
      <c r="L185">
        <f>IF([1]!TbRegistroSaídas[[#This Row],[Data da Competência]]="",0,YEAR([1]!TbRegistroSaídas[[#This Row],[Data da Competência]]))</f>
        <v>2019</v>
      </c>
      <c r="M185">
        <f>IF([1]!TbRegistroSaídas[[#This Row],[Data do Caixa Previsto]]="",0,MONTH([1]!TbRegistroSaídas[[#This Row],[Data do Caixa Previsto]]))</f>
        <v>2</v>
      </c>
      <c r="N185">
        <f>IF([1]!TbRegistroSaídas[[#This Row],[Data do Caixa Previsto]]="",0,YEAR([1]!TbRegistroSaídas[[#This Row],[Data do Caixa Previsto]]))</f>
        <v>2019</v>
      </c>
      <c r="O18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86" spans="2:15" x14ac:dyDescent="0.25">
      <c r="B186" s="11">
        <v>43508.592568137858</v>
      </c>
      <c r="C186" s="11">
        <v>43506</v>
      </c>
      <c r="D186" s="11">
        <v>43508.592568137858</v>
      </c>
      <c r="E186" t="s">
        <v>36</v>
      </c>
      <c r="F186" t="s">
        <v>33</v>
      </c>
      <c r="G186" t="s">
        <v>464</v>
      </c>
      <c r="H186" s="114">
        <v>4204</v>
      </c>
      <c r="I186">
        <f>IF([1]!TbRegistroSaídas[[#This Row],[Data do Caixa Realizado]]="",0,MONTH([1]!TbRegistroSaídas[[#This Row],[Data do Caixa Realizado]]))</f>
        <v>2</v>
      </c>
      <c r="J186">
        <f>IF([1]!TbRegistroSaídas[[#This Row],[Data do Caixa Realizado]]="",0,YEAR([1]!TbRegistroSaídas[[#This Row],[Data do Caixa Realizado]]))</f>
        <v>2019</v>
      </c>
      <c r="K186">
        <f>IF([1]!TbRegistroSaídas[[#This Row],[Data da Competência]]="",0,MONTH([1]!TbRegistroSaídas[[#This Row],[Data da Competência]]))</f>
        <v>2</v>
      </c>
      <c r="L186">
        <f>IF([1]!TbRegistroSaídas[[#This Row],[Data da Competência]]="",0,YEAR([1]!TbRegistroSaídas[[#This Row],[Data da Competência]]))</f>
        <v>2019</v>
      </c>
      <c r="M186">
        <f>IF([1]!TbRegistroSaídas[[#This Row],[Data do Caixa Previsto]]="",0,MONTH([1]!TbRegistroSaídas[[#This Row],[Data do Caixa Previsto]]))</f>
        <v>2</v>
      </c>
      <c r="N186">
        <f>IF([1]!TbRegistroSaídas[[#This Row],[Data do Caixa Previsto]]="",0,YEAR([1]!TbRegistroSaídas[[#This Row],[Data do Caixa Previsto]]))</f>
        <v>2019</v>
      </c>
      <c r="O18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87" spans="2:15" x14ac:dyDescent="0.25">
      <c r="B187" s="11">
        <v>43555.285152896111</v>
      </c>
      <c r="C187" s="11">
        <v>43508</v>
      </c>
      <c r="D187" s="11">
        <v>43555.285152896111</v>
      </c>
      <c r="E187" t="s">
        <v>36</v>
      </c>
      <c r="F187" t="s">
        <v>32</v>
      </c>
      <c r="G187" t="s">
        <v>465</v>
      </c>
      <c r="H187" s="114">
        <v>3695</v>
      </c>
      <c r="I187">
        <f>IF([1]!TbRegistroSaídas[[#This Row],[Data do Caixa Realizado]]="",0,MONTH([1]!TbRegistroSaídas[[#This Row],[Data do Caixa Realizado]]))</f>
        <v>3</v>
      </c>
      <c r="J187">
        <f>IF([1]!TbRegistroSaídas[[#This Row],[Data do Caixa Realizado]]="",0,YEAR([1]!TbRegistroSaídas[[#This Row],[Data do Caixa Realizado]]))</f>
        <v>2019</v>
      </c>
      <c r="K187">
        <f>IF([1]!TbRegistroSaídas[[#This Row],[Data da Competência]]="",0,MONTH([1]!TbRegistroSaídas[[#This Row],[Data da Competência]]))</f>
        <v>2</v>
      </c>
      <c r="L187">
        <f>IF([1]!TbRegistroSaídas[[#This Row],[Data da Competência]]="",0,YEAR([1]!TbRegistroSaídas[[#This Row],[Data da Competência]]))</f>
        <v>2019</v>
      </c>
      <c r="M187">
        <f>IF([1]!TbRegistroSaídas[[#This Row],[Data do Caixa Previsto]]="",0,MONTH([1]!TbRegistroSaídas[[#This Row],[Data do Caixa Previsto]]))</f>
        <v>3</v>
      </c>
      <c r="N187">
        <f>IF([1]!TbRegistroSaídas[[#This Row],[Data do Caixa Previsto]]="",0,YEAR([1]!TbRegistroSaídas[[#This Row],[Data do Caixa Previsto]]))</f>
        <v>2019</v>
      </c>
      <c r="O18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88" spans="2:15" x14ac:dyDescent="0.25">
      <c r="B188" s="11">
        <v>43517</v>
      </c>
      <c r="C188" s="11">
        <v>43517</v>
      </c>
      <c r="D188" s="11">
        <v>43517</v>
      </c>
      <c r="E188" t="s">
        <v>36</v>
      </c>
      <c r="F188" t="s">
        <v>35</v>
      </c>
      <c r="G188" t="s">
        <v>466</v>
      </c>
      <c r="H188" s="114">
        <v>4148</v>
      </c>
      <c r="I188">
        <f>IF([1]!TbRegistroSaídas[[#This Row],[Data do Caixa Realizado]]="",0,MONTH([1]!TbRegistroSaídas[[#This Row],[Data do Caixa Realizado]]))</f>
        <v>2</v>
      </c>
      <c r="J188">
        <f>IF([1]!TbRegistroSaídas[[#This Row],[Data do Caixa Realizado]]="",0,YEAR([1]!TbRegistroSaídas[[#This Row],[Data do Caixa Realizado]]))</f>
        <v>2019</v>
      </c>
      <c r="K188">
        <f>IF([1]!TbRegistroSaídas[[#This Row],[Data da Competência]]="",0,MONTH([1]!TbRegistroSaídas[[#This Row],[Data da Competência]]))</f>
        <v>2</v>
      </c>
      <c r="L188">
        <f>IF([1]!TbRegistroSaídas[[#This Row],[Data da Competência]]="",0,YEAR([1]!TbRegistroSaídas[[#This Row],[Data da Competência]]))</f>
        <v>2019</v>
      </c>
      <c r="M188">
        <f>IF([1]!TbRegistroSaídas[[#This Row],[Data do Caixa Previsto]]="",0,MONTH([1]!TbRegistroSaídas[[#This Row],[Data do Caixa Previsto]]))</f>
        <v>2</v>
      </c>
      <c r="N188">
        <f>IF([1]!TbRegistroSaídas[[#This Row],[Data do Caixa Previsto]]="",0,YEAR([1]!TbRegistroSaídas[[#This Row],[Data do Caixa Previsto]]))</f>
        <v>2019</v>
      </c>
      <c r="O18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89" spans="2:15" x14ac:dyDescent="0.25">
      <c r="B189" s="11" t="s">
        <v>68</v>
      </c>
      <c r="C189" s="11">
        <v>43521</v>
      </c>
      <c r="D189" s="11">
        <v>43521</v>
      </c>
      <c r="E189" t="s">
        <v>36</v>
      </c>
      <c r="F189" t="s">
        <v>43</v>
      </c>
      <c r="G189" t="s">
        <v>467</v>
      </c>
      <c r="H189" s="114">
        <v>4303</v>
      </c>
      <c r="I189">
        <f>IF([1]!TbRegistroSaídas[[#This Row],[Data do Caixa Realizado]]="",0,MONTH([1]!TbRegistroSaídas[[#This Row],[Data do Caixa Realizado]]))</f>
        <v>0</v>
      </c>
      <c r="J189">
        <f>IF([1]!TbRegistroSaídas[[#This Row],[Data do Caixa Realizado]]="",0,YEAR([1]!TbRegistroSaídas[[#This Row],[Data do Caixa Realizado]]))</f>
        <v>0</v>
      </c>
      <c r="K189">
        <f>IF([1]!TbRegistroSaídas[[#This Row],[Data da Competência]]="",0,MONTH([1]!TbRegistroSaídas[[#This Row],[Data da Competência]]))</f>
        <v>2</v>
      </c>
      <c r="L189">
        <f>IF([1]!TbRegistroSaídas[[#This Row],[Data da Competência]]="",0,YEAR([1]!TbRegistroSaídas[[#This Row],[Data da Competência]]))</f>
        <v>2019</v>
      </c>
      <c r="M189">
        <f>IF([1]!TbRegistroSaídas[[#This Row],[Data do Caixa Previsto]]="",0,MONTH([1]!TbRegistroSaídas[[#This Row],[Data do Caixa Previsto]]))</f>
        <v>2</v>
      </c>
      <c r="N189">
        <f>IF([1]!TbRegistroSaídas[[#This Row],[Data do Caixa Previsto]]="",0,YEAR([1]!TbRegistroSaídas[[#This Row],[Data do Caixa Previsto]]))</f>
        <v>2019</v>
      </c>
      <c r="O18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1832</v>
      </c>
    </row>
    <row r="190" spans="2:15" x14ac:dyDescent="0.25">
      <c r="B190" s="11">
        <v>43531.738180250693</v>
      </c>
      <c r="C190" s="11">
        <v>43523</v>
      </c>
      <c r="D190" s="11">
        <v>43531.738180250693</v>
      </c>
      <c r="E190" t="s">
        <v>36</v>
      </c>
      <c r="F190" t="s">
        <v>33</v>
      </c>
      <c r="G190" t="s">
        <v>468</v>
      </c>
      <c r="H190" s="114">
        <v>2674</v>
      </c>
      <c r="I190">
        <f>IF([1]!TbRegistroSaídas[[#This Row],[Data do Caixa Realizado]]="",0,MONTH([1]!TbRegistroSaídas[[#This Row],[Data do Caixa Realizado]]))</f>
        <v>3</v>
      </c>
      <c r="J190">
        <f>IF([1]!TbRegistroSaídas[[#This Row],[Data do Caixa Realizado]]="",0,YEAR([1]!TbRegistroSaídas[[#This Row],[Data do Caixa Realizado]]))</f>
        <v>2019</v>
      </c>
      <c r="K190">
        <f>IF([1]!TbRegistroSaídas[[#This Row],[Data da Competência]]="",0,MONTH([1]!TbRegistroSaídas[[#This Row],[Data da Competência]]))</f>
        <v>2</v>
      </c>
      <c r="L190">
        <f>IF([1]!TbRegistroSaídas[[#This Row],[Data da Competência]]="",0,YEAR([1]!TbRegistroSaídas[[#This Row],[Data da Competência]]))</f>
        <v>2019</v>
      </c>
      <c r="M190">
        <f>IF([1]!TbRegistroSaídas[[#This Row],[Data do Caixa Previsto]]="",0,MONTH([1]!TbRegistroSaídas[[#This Row],[Data do Caixa Previsto]]))</f>
        <v>3</v>
      </c>
      <c r="N190">
        <f>IF([1]!TbRegistroSaídas[[#This Row],[Data do Caixa Previsto]]="",0,YEAR([1]!TbRegistroSaídas[[#This Row],[Data do Caixa Previsto]]))</f>
        <v>2019</v>
      </c>
      <c r="O19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91" spans="2:15" x14ac:dyDescent="0.25">
      <c r="B191" s="11">
        <v>43569.835590824536</v>
      </c>
      <c r="C191" s="11">
        <v>43526</v>
      </c>
      <c r="D191" s="11">
        <v>43569.835590824536</v>
      </c>
      <c r="E191" t="s">
        <v>36</v>
      </c>
      <c r="F191" t="s">
        <v>31</v>
      </c>
      <c r="G191" t="s">
        <v>469</v>
      </c>
      <c r="H191" s="114">
        <v>1720</v>
      </c>
      <c r="I191">
        <f>IF([1]!TbRegistroSaídas[[#This Row],[Data do Caixa Realizado]]="",0,MONTH([1]!TbRegistroSaídas[[#This Row],[Data do Caixa Realizado]]))</f>
        <v>4</v>
      </c>
      <c r="J191">
        <f>IF([1]!TbRegistroSaídas[[#This Row],[Data do Caixa Realizado]]="",0,YEAR([1]!TbRegistroSaídas[[#This Row],[Data do Caixa Realizado]]))</f>
        <v>2019</v>
      </c>
      <c r="K191">
        <f>IF([1]!TbRegistroSaídas[[#This Row],[Data da Competência]]="",0,MONTH([1]!TbRegistroSaídas[[#This Row],[Data da Competência]]))</f>
        <v>3</v>
      </c>
      <c r="L191">
        <f>IF([1]!TbRegistroSaídas[[#This Row],[Data da Competência]]="",0,YEAR([1]!TbRegistroSaídas[[#This Row],[Data da Competência]]))</f>
        <v>2019</v>
      </c>
      <c r="M191">
        <f>IF([1]!TbRegistroSaídas[[#This Row],[Data do Caixa Previsto]]="",0,MONTH([1]!TbRegistroSaídas[[#This Row],[Data do Caixa Previsto]]))</f>
        <v>4</v>
      </c>
      <c r="N191">
        <f>IF([1]!TbRegistroSaídas[[#This Row],[Data do Caixa Previsto]]="",0,YEAR([1]!TbRegistroSaídas[[#This Row],[Data do Caixa Previsto]]))</f>
        <v>2019</v>
      </c>
      <c r="O19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92" spans="2:15" x14ac:dyDescent="0.25">
      <c r="B192" s="11">
        <v>43567.757979105008</v>
      </c>
      <c r="C192" s="11">
        <v>43530</v>
      </c>
      <c r="D192" s="11">
        <v>43567.757979105008</v>
      </c>
      <c r="E192" t="s">
        <v>36</v>
      </c>
      <c r="F192" t="s">
        <v>31</v>
      </c>
      <c r="G192" t="s">
        <v>470</v>
      </c>
      <c r="H192" s="114">
        <v>1854</v>
      </c>
      <c r="I192">
        <f>IF([1]!TbRegistroSaídas[[#This Row],[Data do Caixa Realizado]]="",0,MONTH([1]!TbRegistroSaídas[[#This Row],[Data do Caixa Realizado]]))</f>
        <v>4</v>
      </c>
      <c r="J192">
        <f>IF([1]!TbRegistroSaídas[[#This Row],[Data do Caixa Realizado]]="",0,YEAR([1]!TbRegistroSaídas[[#This Row],[Data do Caixa Realizado]]))</f>
        <v>2019</v>
      </c>
      <c r="K192">
        <f>IF([1]!TbRegistroSaídas[[#This Row],[Data da Competência]]="",0,MONTH([1]!TbRegistroSaídas[[#This Row],[Data da Competência]]))</f>
        <v>3</v>
      </c>
      <c r="L192">
        <f>IF([1]!TbRegistroSaídas[[#This Row],[Data da Competência]]="",0,YEAR([1]!TbRegistroSaídas[[#This Row],[Data da Competência]]))</f>
        <v>2019</v>
      </c>
      <c r="M192">
        <f>IF([1]!TbRegistroSaídas[[#This Row],[Data do Caixa Previsto]]="",0,MONTH([1]!TbRegistroSaídas[[#This Row],[Data do Caixa Previsto]]))</f>
        <v>4</v>
      </c>
      <c r="N192">
        <f>IF([1]!TbRegistroSaídas[[#This Row],[Data do Caixa Previsto]]="",0,YEAR([1]!TbRegistroSaídas[[#This Row],[Data do Caixa Previsto]]))</f>
        <v>2019</v>
      </c>
      <c r="O19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93" spans="2:15" x14ac:dyDescent="0.25">
      <c r="B193" s="11">
        <v>43532</v>
      </c>
      <c r="C193" s="11">
        <v>43532</v>
      </c>
      <c r="D193" s="11">
        <v>43532</v>
      </c>
      <c r="E193" t="s">
        <v>36</v>
      </c>
      <c r="F193" t="s">
        <v>43</v>
      </c>
      <c r="G193" t="s">
        <v>471</v>
      </c>
      <c r="H193" s="114">
        <v>2568</v>
      </c>
      <c r="I193">
        <f>IF([1]!TbRegistroSaídas[[#This Row],[Data do Caixa Realizado]]="",0,MONTH([1]!TbRegistroSaídas[[#This Row],[Data do Caixa Realizado]]))</f>
        <v>3</v>
      </c>
      <c r="J193">
        <f>IF([1]!TbRegistroSaídas[[#This Row],[Data do Caixa Realizado]]="",0,YEAR([1]!TbRegistroSaídas[[#This Row],[Data do Caixa Realizado]]))</f>
        <v>2019</v>
      </c>
      <c r="K193">
        <f>IF([1]!TbRegistroSaídas[[#This Row],[Data da Competência]]="",0,MONTH([1]!TbRegistroSaídas[[#This Row],[Data da Competência]]))</f>
        <v>3</v>
      </c>
      <c r="L193">
        <f>IF([1]!TbRegistroSaídas[[#This Row],[Data da Competência]]="",0,YEAR([1]!TbRegistroSaídas[[#This Row],[Data da Competência]]))</f>
        <v>2019</v>
      </c>
      <c r="M193">
        <f>IF([1]!TbRegistroSaídas[[#This Row],[Data do Caixa Previsto]]="",0,MONTH([1]!TbRegistroSaídas[[#This Row],[Data do Caixa Previsto]]))</f>
        <v>3</v>
      </c>
      <c r="N193">
        <f>IF([1]!TbRegistroSaídas[[#This Row],[Data do Caixa Previsto]]="",0,YEAR([1]!TbRegistroSaídas[[#This Row],[Data do Caixa Previsto]]))</f>
        <v>2019</v>
      </c>
      <c r="O19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94" spans="2:15" x14ac:dyDescent="0.25">
      <c r="B194" s="11" t="s">
        <v>68</v>
      </c>
      <c r="C194" s="11">
        <v>43532</v>
      </c>
      <c r="D194" s="11">
        <v>43572.596134843683</v>
      </c>
      <c r="E194" t="s">
        <v>36</v>
      </c>
      <c r="F194" t="s">
        <v>43</v>
      </c>
      <c r="G194" t="s">
        <v>472</v>
      </c>
      <c r="H194" s="114">
        <v>3690</v>
      </c>
      <c r="I194">
        <f>IF([1]!TbRegistroSaídas[[#This Row],[Data do Caixa Realizado]]="",0,MONTH([1]!TbRegistroSaídas[[#This Row],[Data do Caixa Realizado]]))</f>
        <v>0</v>
      </c>
      <c r="J194">
        <f>IF([1]!TbRegistroSaídas[[#This Row],[Data do Caixa Realizado]]="",0,YEAR([1]!TbRegistroSaídas[[#This Row],[Data do Caixa Realizado]]))</f>
        <v>0</v>
      </c>
      <c r="K194">
        <f>IF([1]!TbRegistroSaídas[[#This Row],[Data da Competência]]="",0,MONTH([1]!TbRegistroSaídas[[#This Row],[Data da Competência]]))</f>
        <v>3</v>
      </c>
      <c r="L194">
        <f>IF([1]!TbRegistroSaídas[[#This Row],[Data da Competência]]="",0,YEAR([1]!TbRegistroSaídas[[#This Row],[Data da Competência]]))</f>
        <v>2019</v>
      </c>
      <c r="M194">
        <f>IF([1]!TbRegistroSaídas[[#This Row],[Data do Caixa Previsto]]="",0,MONTH([1]!TbRegistroSaídas[[#This Row],[Data do Caixa Previsto]]))</f>
        <v>4</v>
      </c>
      <c r="N194">
        <f>IF([1]!TbRegistroSaídas[[#This Row],[Data do Caixa Previsto]]="",0,YEAR([1]!TbRegistroSaídas[[#This Row],[Data do Caixa Previsto]]))</f>
        <v>2019</v>
      </c>
      <c r="O19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1780.4038651563169</v>
      </c>
    </row>
    <row r="195" spans="2:15" x14ac:dyDescent="0.25">
      <c r="B195" s="11">
        <v>43570.539022448429</v>
      </c>
      <c r="C195" s="11">
        <v>43534</v>
      </c>
      <c r="D195" s="11">
        <v>43570.539022448429</v>
      </c>
      <c r="E195" t="s">
        <v>36</v>
      </c>
      <c r="F195" t="s">
        <v>35</v>
      </c>
      <c r="G195" t="s">
        <v>473</v>
      </c>
      <c r="H195" s="114">
        <v>3746</v>
      </c>
      <c r="I195">
        <f>IF([1]!TbRegistroSaídas[[#This Row],[Data do Caixa Realizado]]="",0,MONTH([1]!TbRegistroSaídas[[#This Row],[Data do Caixa Realizado]]))</f>
        <v>4</v>
      </c>
      <c r="J195">
        <f>IF([1]!TbRegistroSaídas[[#This Row],[Data do Caixa Realizado]]="",0,YEAR([1]!TbRegistroSaídas[[#This Row],[Data do Caixa Realizado]]))</f>
        <v>2019</v>
      </c>
      <c r="K195">
        <f>IF([1]!TbRegistroSaídas[[#This Row],[Data da Competência]]="",0,MONTH([1]!TbRegistroSaídas[[#This Row],[Data da Competência]]))</f>
        <v>3</v>
      </c>
      <c r="L195">
        <f>IF([1]!TbRegistroSaídas[[#This Row],[Data da Competência]]="",0,YEAR([1]!TbRegistroSaídas[[#This Row],[Data da Competência]]))</f>
        <v>2019</v>
      </c>
      <c r="M195">
        <f>IF([1]!TbRegistroSaídas[[#This Row],[Data do Caixa Previsto]]="",0,MONTH([1]!TbRegistroSaídas[[#This Row],[Data do Caixa Previsto]]))</f>
        <v>4</v>
      </c>
      <c r="N195">
        <f>IF([1]!TbRegistroSaídas[[#This Row],[Data do Caixa Previsto]]="",0,YEAR([1]!TbRegistroSaídas[[#This Row],[Data do Caixa Previsto]]))</f>
        <v>2019</v>
      </c>
      <c r="O19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96" spans="2:15" x14ac:dyDescent="0.25">
      <c r="B196" s="11">
        <v>43536</v>
      </c>
      <c r="C196" s="11">
        <v>43536</v>
      </c>
      <c r="D196" s="11">
        <v>43536</v>
      </c>
      <c r="E196" t="s">
        <v>36</v>
      </c>
      <c r="F196" t="s">
        <v>31</v>
      </c>
      <c r="G196" t="s">
        <v>474</v>
      </c>
      <c r="H196" s="114">
        <v>4360</v>
      </c>
      <c r="I196">
        <f>IF([1]!TbRegistroSaídas[[#This Row],[Data do Caixa Realizado]]="",0,MONTH([1]!TbRegistroSaídas[[#This Row],[Data do Caixa Realizado]]))</f>
        <v>3</v>
      </c>
      <c r="J196">
        <f>IF([1]!TbRegistroSaídas[[#This Row],[Data do Caixa Realizado]]="",0,YEAR([1]!TbRegistroSaídas[[#This Row],[Data do Caixa Realizado]]))</f>
        <v>2019</v>
      </c>
      <c r="K196">
        <f>IF([1]!TbRegistroSaídas[[#This Row],[Data da Competência]]="",0,MONTH([1]!TbRegistroSaídas[[#This Row],[Data da Competência]]))</f>
        <v>3</v>
      </c>
      <c r="L196">
        <f>IF([1]!TbRegistroSaídas[[#This Row],[Data da Competência]]="",0,YEAR([1]!TbRegistroSaídas[[#This Row],[Data da Competência]]))</f>
        <v>2019</v>
      </c>
      <c r="M196">
        <f>IF([1]!TbRegistroSaídas[[#This Row],[Data do Caixa Previsto]]="",0,MONTH([1]!TbRegistroSaídas[[#This Row],[Data do Caixa Previsto]]))</f>
        <v>3</v>
      </c>
      <c r="N196">
        <f>IF([1]!TbRegistroSaídas[[#This Row],[Data do Caixa Previsto]]="",0,YEAR([1]!TbRegistroSaídas[[#This Row],[Data do Caixa Previsto]]))</f>
        <v>2019</v>
      </c>
      <c r="O19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97" spans="2:15" x14ac:dyDescent="0.25">
      <c r="B197" s="11">
        <v>43576.376924808807</v>
      </c>
      <c r="C197" s="11">
        <v>43537</v>
      </c>
      <c r="D197" s="11">
        <v>43576.376924808807</v>
      </c>
      <c r="E197" t="s">
        <v>36</v>
      </c>
      <c r="F197" t="s">
        <v>35</v>
      </c>
      <c r="G197" t="s">
        <v>475</v>
      </c>
      <c r="H197" s="114">
        <v>1753</v>
      </c>
      <c r="I197">
        <f>IF([1]!TbRegistroSaídas[[#This Row],[Data do Caixa Realizado]]="",0,MONTH([1]!TbRegistroSaídas[[#This Row],[Data do Caixa Realizado]]))</f>
        <v>4</v>
      </c>
      <c r="J197">
        <f>IF([1]!TbRegistroSaídas[[#This Row],[Data do Caixa Realizado]]="",0,YEAR([1]!TbRegistroSaídas[[#This Row],[Data do Caixa Realizado]]))</f>
        <v>2019</v>
      </c>
      <c r="K197">
        <f>IF([1]!TbRegistroSaídas[[#This Row],[Data da Competência]]="",0,MONTH([1]!TbRegistroSaídas[[#This Row],[Data da Competência]]))</f>
        <v>3</v>
      </c>
      <c r="L197">
        <f>IF([1]!TbRegistroSaídas[[#This Row],[Data da Competência]]="",0,YEAR([1]!TbRegistroSaídas[[#This Row],[Data da Competência]]))</f>
        <v>2019</v>
      </c>
      <c r="M197">
        <f>IF([1]!TbRegistroSaídas[[#This Row],[Data do Caixa Previsto]]="",0,MONTH([1]!TbRegistroSaídas[[#This Row],[Data do Caixa Previsto]]))</f>
        <v>4</v>
      </c>
      <c r="N197">
        <f>IF([1]!TbRegistroSaídas[[#This Row],[Data do Caixa Previsto]]="",0,YEAR([1]!TbRegistroSaídas[[#This Row],[Data do Caixa Previsto]]))</f>
        <v>2019</v>
      </c>
      <c r="O19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98" spans="2:15" x14ac:dyDescent="0.25">
      <c r="B198" s="11">
        <v>43543.657350348039</v>
      </c>
      <c r="C198" s="11">
        <v>43540</v>
      </c>
      <c r="D198" s="11">
        <v>43543.657350348039</v>
      </c>
      <c r="E198" t="s">
        <v>36</v>
      </c>
      <c r="F198" t="s">
        <v>31</v>
      </c>
      <c r="G198" t="s">
        <v>476</v>
      </c>
      <c r="H198" s="114">
        <v>1421</v>
      </c>
      <c r="I198">
        <f>IF([1]!TbRegistroSaídas[[#This Row],[Data do Caixa Realizado]]="",0,MONTH([1]!TbRegistroSaídas[[#This Row],[Data do Caixa Realizado]]))</f>
        <v>3</v>
      </c>
      <c r="J198">
        <f>IF([1]!TbRegistroSaídas[[#This Row],[Data do Caixa Realizado]]="",0,YEAR([1]!TbRegistroSaídas[[#This Row],[Data do Caixa Realizado]]))</f>
        <v>2019</v>
      </c>
      <c r="K198">
        <f>IF([1]!TbRegistroSaídas[[#This Row],[Data da Competência]]="",0,MONTH([1]!TbRegistroSaídas[[#This Row],[Data da Competência]]))</f>
        <v>3</v>
      </c>
      <c r="L198">
        <f>IF([1]!TbRegistroSaídas[[#This Row],[Data da Competência]]="",0,YEAR([1]!TbRegistroSaídas[[#This Row],[Data da Competência]]))</f>
        <v>2019</v>
      </c>
      <c r="M198">
        <f>IF([1]!TbRegistroSaídas[[#This Row],[Data do Caixa Previsto]]="",0,MONTH([1]!TbRegistroSaídas[[#This Row],[Data do Caixa Previsto]]))</f>
        <v>3</v>
      </c>
      <c r="N198">
        <f>IF([1]!TbRegistroSaídas[[#This Row],[Data do Caixa Previsto]]="",0,YEAR([1]!TbRegistroSaídas[[#This Row],[Data do Caixa Previsto]]))</f>
        <v>2019</v>
      </c>
      <c r="O19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199" spans="2:15" x14ac:dyDescent="0.25">
      <c r="B199" s="11">
        <v>43543</v>
      </c>
      <c r="C199" s="11">
        <v>43543</v>
      </c>
      <c r="D199" s="11">
        <v>43543</v>
      </c>
      <c r="E199" t="s">
        <v>36</v>
      </c>
      <c r="F199" t="s">
        <v>35</v>
      </c>
      <c r="G199" t="s">
        <v>477</v>
      </c>
      <c r="H199" s="114">
        <v>3565</v>
      </c>
      <c r="I199">
        <f>IF([1]!TbRegistroSaídas[[#This Row],[Data do Caixa Realizado]]="",0,MONTH([1]!TbRegistroSaídas[[#This Row],[Data do Caixa Realizado]]))</f>
        <v>3</v>
      </c>
      <c r="J199">
        <f>IF([1]!TbRegistroSaídas[[#This Row],[Data do Caixa Realizado]]="",0,YEAR([1]!TbRegistroSaídas[[#This Row],[Data do Caixa Realizado]]))</f>
        <v>2019</v>
      </c>
      <c r="K199">
        <f>IF([1]!TbRegistroSaídas[[#This Row],[Data da Competência]]="",0,MONTH([1]!TbRegistroSaídas[[#This Row],[Data da Competência]]))</f>
        <v>3</v>
      </c>
      <c r="L199">
        <f>IF([1]!TbRegistroSaídas[[#This Row],[Data da Competência]]="",0,YEAR([1]!TbRegistroSaídas[[#This Row],[Data da Competência]]))</f>
        <v>2019</v>
      </c>
      <c r="M199">
        <f>IF([1]!TbRegistroSaídas[[#This Row],[Data do Caixa Previsto]]="",0,MONTH([1]!TbRegistroSaídas[[#This Row],[Data do Caixa Previsto]]))</f>
        <v>3</v>
      </c>
      <c r="N199">
        <f>IF([1]!TbRegistroSaídas[[#This Row],[Data do Caixa Previsto]]="",0,YEAR([1]!TbRegistroSaídas[[#This Row],[Data do Caixa Previsto]]))</f>
        <v>2019</v>
      </c>
      <c r="O19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00" spans="2:15" x14ac:dyDescent="0.25">
      <c r="B200" s="11">
        <v>43586.481925868669</v>
      </c>
      <c r="C200" s="11">
        <v>43546</v>
      </c>
      <c r="D200" s="11">
        <v>43586.481925868669</v>
      </c>
      <c r="E200" t="s">
        <v>36</v>
      </c>
      <c r="F200" t="s">
        <v>43</v>
      </c>
      <c r="G200" t="s">
        <v>478</v>
      </c>
      <c r="H200" s="114">
        <v>1961</v>
      </c>
      <c r="I200">
        <f>IF([1]!TbRegistroSaídas[[#This Row],[Data do Caixa Realizado]]="",0,MONTH([1]!TbRegistroSaídas[[#This Row],[Data do Caixa Realizado]]))</f>
        <v>5</v>
      </c>
      <c r="J200">
        <f>IF([1]!TbRegistroSaídas[[#This Row],[Data do Caixa Realizado]]="",0,YEAR([1]!TbRegistroSaídas[[#This Row],[Data do Caixa Realizado]]))</f>
        <v>2019</v>
      </c>
      <c r="K200">
        <f>IF([1]!TbRegistroSaídas[[#This Row],[Data da Competência]]="",0,MONTH([1]!TbRegistroSaídas[[#This Row],[Data da Competência]]))</f>
        <v>3</v>
      </c>
      <c r="L200">
        <f>IF([1]!TbRegistroSaídas[[#This Row],[Data da Competência]]="",0,YEAR([1]!TbRegistroSaídas[[#This Row],[Data da Competência]]))</f>
        <v>2019</v>
      </c>
      <c r="M200">
        <f>IF([1]!TbRegistroSaídas[[#This Row],[Data do Caixa Previsto]]="",0,MONTH([1]!TbRegistroSaídas[[#This Row],[Data do Caixa Previsto]]))</f>
        <v>5</v>
      </c>
      <c r="N200">
        <f>IF([1]!TbRegistroSaídas[[#This Row],[Data do Caixa Previsto]]="",0,YEAR([1]!TbRegistroSaídas[[#This Row],[Data do Caixa Previsto]]))</f>
        <v>2019</v>
      </c>
      <c r="O20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01" spans="2:15" x14ac:dyDescent="0.25">
      <c r="B201" s="11">
        <v>43551</v>
      </c>
      <c r="C201" s="11">
        <v>43551</v>
      </c>
      <c r="D201" s="11">
        <v>43551</v>
      </c>
      <c r="E201" t="s">
        <v>36</v>
      </c>
      <c r="F201" t="s">
        <v>33</v>
      </c>
      <c r="G201" t="s">
        <v>479</v>
      </c>
      <c r="H201" s="114">
        <v>4854</v>
      </c>
      <c r="I201">
        <f>IF([1]!TbRegistroSaídas[[#This Row],[Data do Caixa Realizado]]="",0,MONTH([1]!TbRegistroSaídas[[#This Row],[Data do Caixa Realizado]]))</f>
        <v>3</v>
      </c>
      <c r="J201">
        <f>IF([1]!TbRegistroSaídas[[#This Row],[Data do Caixa Realizado]]="",0,YEAR([1]!TbRegistroSaídas[[#This Row],[Data do Caixa Realizado]]))</f>
        <v>2019</v>
      </c>
      <c r="K201">
        <f>IF([1]!TbRegistroSaídas[[#This Row],[Data da Competência]]="",0,MONTH([1]!TbRegistroSaídas[[#This Row],[Data da Competência]]))</f>
        <v>3</v>
      </c>
      <c r="L201">
        <f>IF([1]!TbRegistroSaídas[[#This Row],[Data da Competência]]="",0,YEAR([1]!TbRegistroSaídas[[#This Row],[Data da Competência]]))</f>
        <v>2019</v>
      </c>
      <c r="M201">
        <f>IF([1]!TbRegistroSaídas[[#This Row],[Data do Caixa Previsto]]="",0,MONTH([1]!TbRegistroSaídas[[#This Row],[Data do Caixa Previsto]]))</f>
        <v>3</v>
      </c>
      <c r="N201">
        <f>IF([1]!TbRegistroSaídas[[#This Row],[Data do Caixa Previsto]]="",0,YEAR([1]!TbRegistroSaídas[[#This Row],[Data do Caixa Previsto]]))</f>
        <v>2019</v>
      </c>
      <c r="O20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02" spans="2:15" x14ac:dyDescent="0.25">
      <c r="B202" s="11">
        <v>43557</v>
      </c>
      <c r="C202" s="11">
        <v>43557</v>
      </c>
      <c r="D202" s="11">
        <v>43557</v>
      </c>
      <c r="E202" t="s">
        <v>36</v>
      </c>
      <c r="F202" t="s">
        <v>31</v>
      </c>
      <c r="G202" t="s">
        <v>480</v>
      </c>
      <c r="H202" s="114">
        <v>3453</v>
      </c>
      <c r="I202">
        <f>IF([1]!TbRegistroSaídas[[#This Row],[Data do Caixa Realizado]]="",0,MONTH([1]!TbRegistroSaídas[[#This Row],[Data do Caixa Realizado]]))</f>
        <v>4</v>
      </c>
      <c r="J202">
        <f>IF([1]!TbRegistroSaídas[[#This Row],[Data do Caixa Realizado]]="",0,YEAR([1]!TbRegistroSaídas[[#This Row],[Data do Caixa Realizado]]))</f>
        <v>2019</v>
      </c>
      <c r="K202">
        <f>IF([1]!TbRegistroSaídas[[#This Row],[Data da Competência]]="",0,MONTH([1]!TbRegistroSaídas[[#This Row],[Data da Competência]]))</f>
        <v>4</v>
      </c>
      <c r="L202">
        <f>IF([1]!TbRegistroSaídas[[#This Row],[Data da Competência]]="",0,YEAR([1]!TbRegistroSaídas[[#This Row],[Data da Competência]]))</f>
        <v>2019</v>
      </c>
      <c r="M202">
        <f>IF([1]!TbRegistroSaídas[[#This Row],[Data do Caixa Previsto]]="",0,MONTH([1]!TbRegistroSaídas[[#This Row],[Data do Caixa Previsto]]))</f>
        <v>4</v>
      </c>
      <c r="N202">
        <f>IF([1]!TbRegistroSaídas[[#This Row],[Data do Caixa Previsto]]="",0,YEAR([1]!TbRegistroSaídas[[#This Row],[Data do Caixa Previsto]]))</f>
        <v>2019</v>
      </c>
      <c r="O20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03" spans="2:15" x14ac:dyDescent="0.25">
      <c r="B203" s="11">
        <v>43560.81847105785</v>
      </c>
      <c r="C203" s="11">
        <v>43558</v>
      </c>
      <c r="D203" s="11">
        <v>43560.81847105785</v>
      </c>
      <c r="E203" t="s">
        <v>36</v>
      </c>
      <c r="F203" t="s">
        <v>43</v>
      </c>
      <c r="G203" t="s">
        <v>481</v>
      </c>
      <c r="H203" s="114">
        <v>3341</v>
      </c>
      <c r="I203">
        <f>IF([1]!TbRegistroSaídas[[#This Row],[Data do Caixa Realizado]]="",0,MONTH([1]!TbRegistroSaídas[[#This Row],[Data do Caixa Realizado]]))</f>
        <v>4</v>
      </c>
      <c r="J203">
        <f>IF([1]!TbRegistroSaídas[[#This Row],[Data do Caixa Realizado]]="",0,YEAR([1]!TbRegistroSaídas[[#This Row],[Data do Caixa Realizado]]))</f>
        <v>2019</v>
      </c>
      <c r="K203">
        <f>IF([1]!TbRegistroSaídas[[#This Row],[Data da Competência]]="",0,MONTH([1]!TbRegistroSaídas[[#This Row],[Data da Competência]]))</f>
        <v>4</v>
      </c>
      <c r="L203">
        <f>IF([1]!TbRegistroSaídas[[#This Row],[Data da Competência]]="",0,YEAR([1]!TbRegistroSaídas[[#This Row],[Data da Competência]]))</f>
        <v>2019</v>
      </c>
      <c r="M203">
        <f>IF([1]!TbRegistroSaídas[[#This Row],[Data do Caixa Previsto]]="",0,MONTH([1]!TbRegistroSaídas[[#This Row],[Data do Caixa Previsto]]))</f>
        <v>4</v>
      </c>
      <c r="N203">
        <f>IF([1]!TbRegistroSaídas[[#This Row],[Data do Caixa Previsto]]="",0,YEAR([1]!TbRegistroSaídas[[#This Row],[Data do Caixa Previsto]]))</f>
        <v>2019</v>
      </c>
      <c r="O20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04" spans="2:15" x14ac:dyDescent="0.25">
      <c r="B204" s="11" t="s">
        <v>68</v>
      </c>
      <c r="C204" s="11">
        <v>43561</v>
      </c>
      <c r="D204" s="11">
        <v>43605.865431208142</v>
      </c>
      <c r="E204" t="s">
        <v>36</v>
      </c>
      <c r="F204" t="s">
        <v>33</v>
      </c>
      <c r="G204" t="s">
        <v>482</v>
      </c>
      <c r="H204" s="114">
        <v>2707</v>
      </c>
      <c r="I204">
        <f>IF([1]!TbRegistroSaídas[[#This Row],[Data do Caixa Realizado]]="",0,MONTH([1]!TbRegistroSaídas[[#This Row],[Data do Caixa Realizado]]))</f>
        <v>0</v>
      </c>
      <c r="J204">
        <f>IF([1]!TbRegistroSaídas[[#This Row],[Data do Caixa Realizado]]="",0,YEAR([1]!TbRegistroSaídas[[#This Row],[Data do Caixa Realizado]]))</f>
        <v>0</v>
      </c>
      <c r="K204">
        <f>IF([1]!TbRegistroSaídas[[#This Row],[Data da Competência]]="",0,MONTH([1]!TbRegistroSaídas[[#This Row],[Data da Competência]]))</f>
        <v>4</v>
      </c>
      <c r="L204">
        <f>IF([1]!TbRegistroSaídas[[#This Row],[Data da Competência]]="",0,YEAR([1]!TbRegistroSaídas[[#This Row],[Data da Competência]]))</f>
        <v>2019</v>
      </c>
      <c r="M204">
        <f>IF([1]!TbRegistroSaídas[[#This Row],[Data do Caixa Previsto]]="",0,MONTH([1]!TbRegistroSaídas[[#This Row],[Data do Caixa Previsto]]))</f>
        <v>5</v>
      </c>
      <c r="N204">
        <f>IF([1]!TbRegistroSaídas[[#This Row],[Data do Caixa Previsto]]="",0,YEAR([1]!TbRegistroSaídas[[#This Row],[Data do Caixa Previsto]]))</f>
        <v>2019</v>
      </c>
      <c r="O20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1747.1345687918583</v>
      </c>
    </row>
    <row r="205" spans="2:15" x14ac:dyDescent="0.25">
      <c r="B205" s="11">
        <v>43647.725633532762</v>
      </c>
      <c r="C205" s="11">
        <v>43563</v>
      </c>
      <c r="D205" s="11">
        <v>43603.683759744941</v>
      </c>
      <c r="E205" t="s">
        <v>36</v>
      </c>
      <c r="F205" t="s">
        <v>43</v>
      </c>
      <c r="G205" t="s">
        <v>483</v>
      </c>
      <c r="H205" s="114">
        <v>1582</v>
      </c>
      <c r="I205">
        <f>IF([1]!TbRegistroSaídas[[#This Row],[Data do Caixa Realizado]]="",0,MONTH([1]!TbRegistroSaídas[[#This Row],[Data do Caixa Realizado]]))</f>
        <v>7</v>
      </c>
      <c r="J205">
        <f>IF([1]!TbRegistroSaídas[[#This Row],[Data do Caixa Realizado]]="",0,YEAR([1]!TbRegistroSaídas[[#This Row],[Data do Caixa Realizado]]))</f>
        <v>2019</v>
      </c>
      <c r="K205">
        <f>IF([1]!TbRegistroSaídas[[#This Row],[Data da Competência]]="",0,MONTH([1]!TbRegistroSaídas[[#This Row],[Data da Competência]]))</f>
        <v>4</v>
      </c>
      <c r="L205">
        <f>IF([1]!TbRegistroSaídas[[#This Row],[Data da Competência]]="",0,YEAR([1]!TbRegistroSaídas[[#This Row],[Data da Competência]]))</f>
        <v>2019</v>
      </c>
      <c r="M205">
        <f>IF([1]!TbRegistroSaídas[[#This Row],[Data do Caixa Previsto]]="",0,MONTH([1]!TbRegistroSaídas[[#This Row],[Data do Caixa Previsto]]))</f>
        <v>5</v>
      </c>
      <c r="N205">
        <f>IF([1]!TbRegistroSaídas[[#This Row],[Data do Caixa Previsto]]="",0,YEAR([1]!TbRegistroSaídas[[#This Row],[Data do Caixa Previsto]]))</f>
        <v>2019</v>
      </c>
      <c r="O20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44.041873787820805</v>
      </c>
    </row>
    <row r="206" spans="2:15" x14ac:dyDescent="0.25">
      <c r="B206" s="11">
        <v>43578.622411172735</v>
      </c>
      <c r="C206" s="11">
        <v>43565</v>
      </c>
      <c r="D206" s="11">
        <v>43565</v>
      </c>
      <c r="E206" t="s">
        <v>36</v>
      </c>
      <c r="F206" t="s">
        <v>43</v>
      </c>
      <c r="G206" t="s">
        <v>484</v>
      </c>
      <c r="H206" s="114">
        <v>3889</v>
      </c>
      <c r="I206">
        <f>IF([1]!TbRegistroSaídas[[#This Row],[Data do Caixa Realizado]]="",0,MONTH([1]!TbRegistroSaídas[[#This Row],[Data do Caixa Realizado]]))</f>
        <v>4</v>
      </c>
      <c r="J206">
        <f>IF([1]!TbRegistroSaídas[[#This Row],[Data do Caixa Realizado]]="",0,YEAR([1]!TbRegistroSaídas[[#This Row],[Data do Caixa Realizado]]))</f>
        <v>2019</v>
      </c>
      <c r="K206">
        <f>IF([1]!TbRegistroSaídas[[#This Row],[Data da Competência]]="",0,MONTH([1]!TbRegistroSaídas[[#This Row],[Data da Competência]]))</f>
        <v>4</v>
      </c>
      <c r="L206">
        <f>IF([1]!TbRegistroSaídas[[#This Row],[Data da Competência]]="",0,YEAR([1]!TbRegistroSaídas[[#This Row],[Data da Competência]]))</f>
        <v>2019</v>
      </c>
      <c r="M206">
        <f>IF([1]!TbRegistroSaídas[[#This Row],[Data do Caixa Previsto]]="",0,MONTH([1]!TbRegistroSaídas[[#This Row],[Data do Caixa Previsto]]))</f>
        <v>4</v>
      </c>
      <c r="N206">
        <f>IF([1]!TbRegistroSaídas[[#This Row],[Data do Caixa Previsto]]="",0,YEAR([1]!TbRegistroSaídas[[#This Row],[Data do Caixa Previsto]]))</f>
        <v>2019</v>
      </c>
      <c r="O20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13.622411172735156</v>
      </c>
    </row>
    <row r="207" spans="2:15" x14ac:dyDescent="0.25">
      <c r="B207" s="11">
        <v>43584.569223583399</v>
      </c>
      <c r="C207" s="11">
        <v>43569</v>
      </c>
      <c r="D207" s="11">
        <v>43584.569223583399</v>
      </c>
      <c r="E207" t="s">
        <v>36</v>
      </c>
      <c r="F207" t="s">
        <v>43</v>
      </c>
      <c r="G207" t="s">
        <v>485</v>
      </c>
      <c r="H207" s="114">
        <v>2303</v>
      </c>
      <c r="I207">
        <f>IF([1]!TbRegistroSaídas[[#This Row],[Data do Caixa Realizado]]="",0,MONTH([1]!TbRegistroSaídas[[#This Row],[Data do Caixa Realizado]]))</f>
        <v>4</v>
      </c>
      <c r="J207">
        <f>IF([1]!TbRegistroSaídas[[#This Row],[Data do Caixa Realizado]]="",0,YEAR([1]!TbRegistroSaídas[[#This Row],[Data do Caixa Realizado]]))</f>
        <v>2019</v>
      </c>
      <c r="K207">
        <f>IF([1]!TbRegistroSaídas[[#This Row],[Data da Competência]]="",0,MONTH([1]!TbRegistroSaídas[[#This Row],[Data da Competência]]))</f>
        <v>4</v>
      </c>
      <c r="L207">
        <f>IF([1]!TbRegistroSaídas[[#This Row],[Data da Competência]]="",0,YEAR([1]!TbRegistroSaídas[[#This Row],[Data da Competência]]))</f>
        <v>2019</v>
      </c>
      <c r="M207">
        <f>IF([1]!TbRegistroSaídas[[#This Row],[Data do Caixa Previsto]]="",0,MONTH([1]!TbRegistroSaídas[[#This Row],[Data do Caixa Previsto]]))</f>
        <v>4</v>
      </c>
      <c r="N207">
        <f>IF([1]!TbRegistroSaídas[[#This Row],[Data do Caixa Previsto]]="",0,YEAR([1]!TbRegistroSaídas[[#This Row],[Data do Caixa Previsto]]))</f>
        <v>2019</v>
      </c>
      <c r="O20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08" spans="2:15" x14ac:dyDescent="0.25">
      <c r="B208" s="11">
        <v>43572</v>
      </c>
      <c r="C208" s="11">
        <v>43572</v>
      </c>
      <c r="D208" s="11">
        <v>43572</v>
      </c>
      <c r="E208" t="s">
        <v>36</v>
      </c>
      <c r="F208" t="s">
        <v>32</v>
      </c>
      <c r="G208" t="s">
        <v>486</v>
      </c>
      <c r="H208" s="114">
        <v>802</v>
      </c>
      <c r="I208">
        <f>IF([1]!TbRegistroSaídas[[#This Row],[Data do Caixa Realizado]]="",0,MONTH([1]!TbRegistroSaídas[[#This Row],[Data do Caixa Realizado]]))</f>
        <v>4</v>
      </c>
      <c r="J208">
        <f>IF([1]!TbRegistroSaídas[[#This Row],[Data do Caixa Realizado]]="",0,YEAR([1]!TbRegistroSaídas[[#This Row],[Data do Caixa Realizado]]))</f>
        <v>2019</v>
      </c>
      <c r="K208">
        <f>IF([1]!TbRegistroSaídas[[#This Row],[Data da Competência]]="",0,MONTH([1]!TbRegistroSaídas[[#This Row],[Data da Competência]]))</f>
        <v>4</v>
      </c>
      <c r="L208">
        <f>IF([1]!TbRegistroSaídas[[#This Row],[Data da Competência]]="",0,YEAR([1]!TbRegistroSaídas[[#This Row],[Data da Competência]]))</f>
        <v>2019</v>
      </c>
      <c r="M208">
        <f>IF([1]!TbRegistroSaídas[[#This Row],[Data do Caixa Previsto]]="",0,MONTH([1]!TbRegistroSaídas[[#This Row],[Data do Caixa Previsto]]))</f>
        <v>4</v>
      </c>
      <c r="N208">
        <f>IF([1]!TbRegistroSaídas[[#This Row],[Data do Caixa Previsto]]="",0,YEAR([1]!TbRegistroSaídas[[#This Row],[Data do Caixa Previsto]]))</f>
        <v>2019</v>
      </c>
      <c r="O20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09" spans="2:15" x14ac:dyDescent="0.25">
      <c r="B209" s="11" t="s">
        <v>68</v>
      </c>
      <c r="C209" s="11">
        <v>43574</v>
      </c>
      <c r="D209" s="11">
        <v>43589.233184767916</v>
      </c>
      <c r="E209" t="s">
        <v>36</v>
      </c>
      <c r="F209" t="s">
        <v>43</v>
      </c>
      <c r="G209" t="s">
        <v>487</v>
      </c>
      <c r="H209" s="114">
        <v>4513</v>
      </c>
      <c r="I209">
        <f>IF([1]!TbRegistroSaídas[[#This Row],[Data do Caixa Realizado]]="",0,MONTH([1]!TbRegistroSaídas[[#This Row],[Data do Caixa Realizado]]))</f>
        <v>0</v>
      </c>
      <c r="J209">
        <f>IF([1]!TbRegistroSaídas[[#This Row],[Data do Caixa Realizado]]="",0,YEAR([1]!TbRegistroSaídas[[#This Row],[Data do Caixa Realizado]]))</f>
        <v>0</v>
      </c>
      <c r="K209">
        <f>IF([1]!TbRegistroSaídas[[#This Row],[Data da Competência]]="",0,MONTH([1]!TbRegistroSaídas[[#This Row],[Data da Competência]]))</f>
        <v>4</v>
      </c>
      <c r="L209">
        <f>IF([1]!TbRegistroSaídas[[#This Row],[Data da Competência]]="",0,YEAR([1]!TbRegistroSaídas[[#This Row],[Data da Competência]]))</f>
        <v>2019</v>
      </c>
      <c r="M209">
        <f>IF([1]!TbRegistroSaídas[[#This Row],[Data do Caixa Previsto]]="",0,MONTH([1]!TbRegistroSaídas[[#This Row],[Data do Caixa Previsto]]))</f>
        <v>5</v>
      </c>
      <c r="N209">
        <f>IF([1]!TbRegistroSaídas[[#This Row],[Data do Caixa Previsto]]="",0,YEAR([1]!TbRegistroSaídas[[#This Row],[Data do Caixa Previsto]]))</f>
        <v>2019</v>
      </c>
      <c r="O20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1763.7668152320839</v>
      </c>
    </row>
    <row r="210" spans="2:15" x14ac:dyDescent="0.25">
      <c r="B210" s="11">
        <v>43586.8659361682</v>
      </c>
      <c r="C210" s="11">
        <v>43576</v>
      </c>
      <c r="D210" s="11">
        <v>43586.8659361682</v>
      </c>
      <c r="E210" t="s">
        <v>36</v>
      </c>
      <c r="F210" t="s">
        <v>43</v>
      </c>
      <c r="G210" t="s">
        <v>488</v>
      </c>
      <c r="H210" s="114">
        <v>3908</v>
      </c>
      <c r="I210">
        <f>IF([1]!TbRegistroSaídas[[#This Row],[Data do Caixa Realizado]]="",0,MONTH([1]!TbRegistroSaídas[[#This Row],[Data do Caixa Realizado]]))</f>
        <v>5</v>
      </c>
      <c r="J210">
        <f>IF([1]!TbRegistroSaídas[[#This Row],[Data do Caixa Realizado]]="",0,YEAR([1]!TbRegistroSaídas[[#This Row],[Data do Caixa Realizado]]))</f>
        <v>2019</v>
      </c>
      <c r="K210">
        <f>IF([1]!TbRegistroSaídas[[#This Row],[Data da Competência]]="",0,MONTH([1]!TbRegistroSaídas[[#This Row],[Data da Competência]]))</f>
        <v>4</v>
      </c>
      <c r="L210">
        <f>IF([1]!TbRegistroSaídas[[#This Row],[Data da Competência]]="",0,YEAR([1]!TbRegistroSaídas[[#This Row],[Data da Competência]]))</f>
        <v>2019</v>
      </c>
      <c r="M210">
        <f>IF([1]!TbRegistroSaídas[[#This Row],[Data do Caixa Previsto]]="",0,MONTH([1]!TbRegistroSaídas[[#This Row],[Data do Caixa Previsto]]))</f>
        <v>5</v>
      </c>
      <c r="N210">
        <f>IF([1]!TbRegistroSaídas[[#This Row],[Data do Caixa Previsto]]="",0,YEAR([1]!TbRegistroSaídas[[#This Row],[Data do Caixa Previsto]]))</f>
        <v>2019</v>
      </c>
      <c r="O21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11" spans="2:15" x14ac:dyDescent="0.25">
      <c r="B211" s="11">
        <v>43661.061374331257</v>
      </c>
      <c r="C211" s="11">
        <v>43580</v>
      </c>
      <c r="D211" s="11">
        <v>43635.027119606828</v>
      </c>
      <c r="E211" t="s">
        <v>36</v>
      </c>
      <c r="F211" t="s">
        <v>43</v>
      </c>
      <c r="G211" t="s">
        <v>489</v>
      </c>
      <c r="H211" s="114">
        <v>156</v>
      </c>
      <c r="I211">
        <f>IF([1]!TbRegistroSaídas[[#This Row],[Data do Caixa Realizado]]="",0,MONTH([1]!TbRegistroSaídas[[#This Row],[Data do Caixa Realizado]]))</f>
        <v>7</v>
      </c>
      <c r="J211">
        <f>IF([1]!TbRegistroSaídas[[#This Row],[Data do Caixa Realizado]]="",0,YEAR([1]!TbRegistroSaídas[[#This Row],[Data do Caixa Realizado]]))</f>
        <v>2019</v>
      </c>
      <c r="K211">
        <f>IF([1]!TbRegistroSaídas[[#This Row],[Data da Competência]]="",0,MONTH([1]!TbRegistroSaídas[[#This Row],[Data da Competência]]))</f>
        <v>4</v>
      </c>
      <c r="L211">
        <f>IF([1]!TbRegistroSaídas[[#This Row],[Data da Competência]]="",0,YEAR([1]!TbRegistroSaídas[[#This Row],[Data da Competência]]))</f>
        <v>2019</v>
      </c>
      <c r="M211">
        <f>IF([1]!TbRegistroSaídas[[#This Row],[Data do Caixa Previsto]]="",0,MONTH([1]!TbRegistroSaídas[[#This Row],[Data do Caixa Previsto]]))</f>
        <v>6</v>
      </c>
      <c r="N211">
        <f>IF([1]!TbRegistroSaídas[[#This Row],[Data do Caixa Previsto]]="",0,YEAR([1]!TbRegistroSaídas[[#This Row],[Data do Caixa Previsto]]))</f>
        <v>2019</v>
      </c>
      <c r="O21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26.034254724429047</v>
      </c>
    </row>
    <row r="212" spans="2:15" x14ac:dyDescent="0.25">
      <c r="B212" s="11">
        <v>43622.113483825102</v>
      </c>
      <c r="C212" s="11">
        <v>43582</v>
      </c>
      <c r="D212" s="11">
        <v>43622.113483825102</v>
      </c>
      <c r="E212" t="s">
        <v>36</v>
      </c>
      <c r="F212" t="s">
        <v>32</v>
      </c>
      <c r="G212" t="s">
        <v>490</v>
      </c>
      <c r="H212" s="114">
        <v>457</v>
      </c>
      <c r="I212">
        <f>IF([1]!TbRegistroSaídas[[#This Row],[Data do Caixa Realizado]]="",0,MONTH([1]!TbRegistroSaídas[[#This Row],[Data do Caixa Realizado]]))</f>
        <v>6</v>
      </c>
      <c r="J212">
        <f>IF([1]!TbRegistroSaídas[[#This Row],[Data do Caixa Realizado]]="",0,YEAR([1]!TbRegistroSaídas[[#This Row],[Data do Caixa Realizado]]))</f>
        <v>2019</v>
      </c>
      <c r="K212">
        <f>IF([1]!TbRegistroSaídas[[#This Row],[Data da Competência]]="",0,MONTH([1]!TbRegistroSaídas[[#This Row],[Data da Competência]]))</f>
        <v>4</v>
      </c>
      <c r="L212">
        <f>IF([1]!TbRegistroSaídas[[#This Row],[Data da Competência]]="",0,YEAR([1]!TbRegistroSaídas[[#This Row],[Data da Competência]]))</f>
        <v>2019</v>
      </c>
      <c r="M212">
        <f>IF([1]!TbRegistroSaídas[[#This Row],[Data do Caixa Previsto]]="",0,MONTH([1]!TbRegistroSaídas[[#This Row],[Data do Caixa Previsto]]))</f>
        <v>6</v>
      </c>
      <c r="N212">
        <f>IF([1]!TbRegistroSaídas[[#This Row],[Data do Caixa Previsto]]="",0,YEAR([1]!TbRegistroSaídas[[#This Row],[Data do Caixa Previsto]]))</f>
        <v>2019</v>
      </c>
      <c r="O21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13" spans="2:15" x14ac:dyDescent="0.25">
      <c r="B213" s="11">
        <v>43624.026611669258</v>
      </c>
      <c r="C213" s="11">
        <v>43588</v>
      </c>
      <c r="D213" s="11">
        <v>43624.026611669258</v>
      </c>
      <c r="E213" t="s">
        <v>36</v>
      </c>
      <c r="F213" t="s">
        <v>43</v>
      </c>
      <c r="G213" t="s">
        <v>491</v>
      </c>
      <c r="H213" s="114">
        <v>3536</v>
      </c>
      <c r="I213">
        <f>IF([1]!TbRegistroSaídas[[#This Row],[Data do Caixa Realizado]]="",0,MONTH([1]!TbRegistroSaídas[[#This Row],[Data do Caixa Realizado]]))</f>
        <v>6</v>
      </c>
      <c r="J213">
        <f>IF([1]!TbRegistroSaídas[[#This Row],[Data do Caixa Realizado]]="",0,YEAR([1]!TbRegistroSaídas[[#This Row],[Data do Caixa Realizado]]))</f>
        <v>2019</v>
      </c>
      <c r="K213">
        <f>IF([1]!TbRegistroSaídas[[#This Row],[Data da Competência]]="",0,MONTH([1]!TbRegistroSaídas[[#This Row],[Data da Competência]]))</f>
        <v>5</v>
      </c>
      <c r="L213">
        <f>IF([1]!TbRegistroSaídas[[#This Row],[Data da Competência]]="",0,YEAR([1]!TbRegistroSaídas[[#This Row],[Data da Competência]]))</f>
        <v>2019</v>
      </c>
      <c r="M213">
        <f>IF([1]!TbRegistroSaídas[[#This Row],[Data do Caixa Previsto]]="",0,MONTH([1]!TbRegistroSaídas[[#This Row],[Data do Caixa Previsto]]))</f>
        <v>6</v>
      </c>
      <c r="N213">
        <f>IF([1]!TbRegistroSaídas[[#This Row],[Data do Caixa Previsto]]="",0,YEAR([1]!TbRegistroSaídas[[#This Row],[Data do Caixa Previsto]]))</f>
        <v>2019</v>
      </c>
      <c r="O21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14" spans="2:15" x14ac:dyDescent="0.25">
      <c r="B214" s="11">
        <v>43595.700139752473</v>
      </c>
      <c r="C214" s="11">
        <v>43590</v>
      </c>
      <c r="D214" s="11">
        <v>43595.700139752473</v>
      </c>
      <c r="E214" t="s">
        <v>36</v>
      </c>
      <c r="F214" t="s">
        <v>43</v>
      </c>
      <c r="G214" t="s">
        <v>492</v>
      </c>
      <c r="H214" s="114">
        <v>1809</v>
      </c>
      <c r="I214">
        <f>IF([1]!TbRegistroSaídas[[#This Row],[Data do Caixa Realizado]]="",0,MONTH([1]!TbRegistroSaídas[[#This Row],[Data do Caixa Realizado]]))</f>
        <v>5</v>
      </c>
      <c r="J214">
        <f>IF([1]!TbRegistroSaídas[[#This Row],[Data do Caixa Realizado]]="",0,YEAR([1]!TbRegistroSaídas[[#This Row],[Data do Caixa Realizado]]))</f>
        <v>2019</v>
      </c>
      <c r="K214">
        <f>IF([1]!TbRegistroSaídas[[#This Row],[Data da Competência]]="",0,MONTH([1]!TbRegistroSaídas[[#This Row],[Data da Competência]]))</f>
        <v>5</v>
      </c>
      <c r="L214">
        <f>IF([1]!TbRegistroSaídas[[#This Row],[Data da Competência]]="",0,YEAR([1]!TbRegistroSaídas[[#This Row],[Data da Competência]]))</f>
        <v>2019</v>
      </c>
      <c r="M214">
        <f>IF([1]!TbRegistroSaídas[[#This Row],[Data do Caixa Previsto]]="",0,MONTH([1]!TbRegistroSaídas[[#This Row],[Data do Caixa Previsto]]))</f>
        <v>5</v>
      </c>
      <c r="N214">
        <f>IF([1]!TbRegistroSaídas[[#This Row],[Data do Caixa Previsto]]="",0,YEAR([1]!TbRegistroSaídas[[#This Row],[Data do Caixa Previsto]]))</f>
        <v>2019</v>
      </c>
      <c r="O21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15" spans="2:15" x14ac:dyDescent="0.25">
      <c r="B215" s="11">
        <v>43613.712962366597</v>
      </c>
      <c r="C215" s="11">
        <v>43591</v>
      </c>
      <c r="D215" s="11">
        <v>43613.712962366597</v>
      </c>
      <c r="E215" t="s">
        <v>36</v>
      </c>
      <c r="F215" t="s">
        <v>32</v>
      </c>
      <c r="G215" t="s">
        <v>493</v>
      </c>
      <c r="H215" s="114">
        <v>4172</v>
      </c>
      <c r="I215">
        <f>IF([1]!TbRegistroSaídas[[#This Row],[Data do Caixa Realizado]]="",0,MONTH([1]!TbRegistroSaídas[[#This Row],[Data do Caixa Realizado]]))</f>
        <v>5</v>
      </c>
      <c r="J215">
        <f>IF([1]!TbRegistroSaídas[[#This Row],[Data do Caixa Realizado]]="",0,YEAR([1]!TbRegistroSaídas[[#This Row],[Data do Caixa Realizado]]))</f>
        <v>2019</v>
      </c>
      <c r="K215">
        <f>IF([1]!TbRegistroSaídas[[#This Row],[Data da Competência]]="",0,MONTH([1]!TbRegistroSaídas[[#This Row],[Data da Competência]]))</f>
        <v>5</v>
      </c>
      <c r="L215">
        <f>IF([1]!TbRegistroSaídas[[#This Row],[Data da Competência]]="",0,YEAR([1]!TbRegistroSaídas[[#This Row],[Data da Competência]]))</f>
        <v>2019</v>
      </c>
      <c r="M215">
        <f>IF([1]!TbRegistroSaídas[[#This Row],[Data do Caixa Previsto]]="",0,MONTH([1]!TbRegistroSaídas[[#This Row],[Data do Caixa Previsto]]))</f>
        <v>5</v>
      </c>
      <c r="N215">
        <f>IF([1]!TbRegistroSaídas[[#This Row],[Data do Caixa Previsto]]="",0,YEAR([1]!TbRegistroSaídas[[#This Row],[Data do Caixa Previsto]]))</f>
        <v>2019</v>
      </c>
      <c r="O21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16" spans="2:15" x14ac:dyDescent="0.25">
      <c r="B216" s="11">
        <v>43623.498752151929</v>
      </c>
      <c r="C216" s="11">
        <v>43592</v>
      </c>
      <c r="D216" s="11">
        <v>43623.498752151929</v>
      </c>
      <c r="E216" t="s">
        <v>36</v>
      </c>
      <c r="F216" t="s">
        <v>32</v>
      </c>
      <c r="G216" t="s">
        <v>494</v>
      </c>
      <c r="H216" s="114">
        <v>3827</v>
      </c>
      <c r="I216">
        <f>IF([1]!TbRegistroSaídas[[#This Row],[Data do Caixa Realizado]]="",0,MONTH([1]!TbRegistroSaídas[[#This Row],[Data do Caixa Realizado]]))</f>
        <v>6</v>
      </c>
      <c r="J216">
        <f>IF([1]!TbRegistroSaídas[[#This Row],[Data do Caixa Realizado]]="",0,YEAR([1]!TbRegistroSaídas[[#This Row],[Data do Caixa Realizado]]))</f>
        <v>2019</v>
      </c>
      <c r="K216">
        <f>IF([1]!TbRegistroSaídas[[#This Row],[Data da Competência]]="",0,MONTH([1]!TbRegistroSaídas[[#This Row],[Data da Competência]]))</f>
        <v>5</v>
      </c>
      <c r="L216">
        <f>IF([1]!TbRegistroSaídas[[#This Row],[Data da Competência]]="",0,YEAR([1]!TbRegistroSaídas[[#This Row],[Data da Competência]]))</f>
        <v>2019</v>
      </c>
      <c r="M216">
        <f>IF([1]!TbRegistroSaídas[[#This Row],[Data do Caixa Previsto]]="",0,MONTH([1]!TbRegistroSaídas[[#This Row],[Data do Caixa Previsto]]))</f>
        <v>6</v>
      </c>
      <c r="N216">
        <f>IF([1]!TbRegistroSaídas[[#This Row],[Data do Caixa Previsto]]="",0,YEAR([1]!TbRegistroSaídas[[#This Row],[Data do Caixa Previsto]]))</f>
        <v>2019</v>
      </c>
      <c r="O21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17" spans="2:15" x14ac:dyDescent="0.25">
      <c r="B217" s="11">
        <v>43645.188079108193</v>
      </c>
      <c r="C217" s="11">
        <v>43594</v>
      </c>
      <c r="D217" s="11">
        <v>43645.188079108193</v>
      </c>
      <c r="E217" t="s">
        <v>36</v>
      </c>
      <c r="F217" t="s">
        <v>32</v>
      </c>
      <c r="G217" t="s">
        <v>495</v>
      </c>
      <c r="H217" s="114">
        <v>1700</v>
      </c>
      <c r="I217">
        <f>IF([1]!TbRegistroSaídas[[#This Row],[Data do Caixa Realizado]]="",0,MONTH([1]!TbRegistroSaídas[[#This Row],[Data do Caixa Realizado]]))</f>
        <v>6</v>
      </c>
      <c r="J217">
        <f>IF([1]!TbRegistroSaídas[[#This Row],[Data do Caixa Realizado]]="",0,YEAR([1]!TbRegistroSaídas[[#This Row],[Data do Caixa Realizado]]))</f>
        <v>2019</v>
      </c>
      <c r="K217">
        <f>IF([1]!TbRegistroSaídas[[#This Row],[Data da Competência]]="",0,MONTH([1]!TbRegistroSaídas[[#This Row],[Data da Competência]]))</f>
        <v>5</v>
      </c>
      <c r="L217">
        <f>IF([1]!TbRegistroSaídas[[#This Row],[Data da Competência]]="",0,YEAR([1]!TbRegistroSaídas[[#This Row],[Data da Competência]]))</f>
        <v>2019</v>
      </c>
      <c r="M217">
        <f>IF([1]!TbRegistroSaídas[[#This Row],[Data do Caixa Previsto]]="",0,MONTH([1]!TbRegistroSaídas[[#This Row],[Data do Caixa Previsto]]))</f>
        <v>6</v>
      </c>
      <c r="N217">
        <f>IF([1]!TbRegistroSaídas[[#This Row],[Data do Caixa Previsto]]="",0,YEAR([1]!TbRegistroSaídas[[#This Row],[Data do Caixa Previsto]]))</f>
        <v>2019</v>
      </c>
      <c r="O21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18" spans="2:15" x14ac:dyDescent="0.25">
      <c r="B218" s="11">
        <v>43614.76373708652</v>
      </c>
      <c r="C218" s="11">
        <v>43595</v>
      </c>
      <c r="D218" s="11">
        <v>43614.76373708652</v>
      </c>
      <c r="E218" t="s">
        <v>36</v>
      </c>
      <c r="F218" t="s">
        <v>32</v>
      </c>
      <c r="G218" t="s">
        <v>496</v>
      </c>
      <c r="H218" s="114">
        <v>2090</v>
      </c>
      <c r="I218">
        <f>IF([1]!TbRegistroSaídas[[#This Row],[Data do Caixa Realizado]]="",0,MONTH([1]!TbRegistroSaídas[[#This Row],[Data do Caixa Realizado]]))</f>
        <v>5</v>
      </c>
      <c r="J218">
        <f>IF([1]!TbRegistroSaídas[[#This Row],[Data do Caixa Realizado]]="",0,YEAR([1]!TbRegistroSaídas[[#This Row],[Data do Caixa Realizado]]))</f>
        <v>2019</v>
      </c>
      <c r="K218">
        <f>IF([1]!TbRegistroSaídas[[#This Row],[Data da Competência]]="",0,MONTH([1]!TbRegistroSaídas[[#This Row],[Data da Competência]]))</f>
        <v>5</v>
      </c>
      <c r="L218">
        <f>IF([1]!TbRegistroSaídas[[#This Row],[Data da Competência]]="",0,YEAR([1]!TbRegistroSaídas[[#This Row],[Data da Competência]]))</f>
        <v>2019</v>
      </c>
      <c r="M218">
        <f>IF([1]!TbRegistroSaídas[[#This Row],[Data do Caixa Previsto]]="",0,MONTH([1]!TbRegistroSaídas[[#This Row],[Data do Caixa Previsto]]))</f>
        <v>5</v>
      </c>
      <c r="N218">
        <f>IF([1]!TbRegistroSaídas[[#This Row],[Data do Caixa Previsto]]="",0,YEAR([1]!TbRegistroSaídas[[#This Row],[Data do Caixa Previsto]]))</f>
        <v>2019</v>
      </c>
      <c r="O21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19" spans="2:15" x14ac:dyDescent="0.25">
      <c r="B219" s="11">
        <v>43598</v>
      </c>
      <c r="C219" s="11">
        <v>43598</v>
      </c>
      <c r="D219" s="11">
        <v>43598</v>
      </c>
      <c r="E219" t="s">
        <v>36</v>
      </c>
      <c r="F219" t="s">
        <v>35</v>
      </c>
      <c r="G219" t="s">
        <v>497</v>
      </c>
      <c r="H219" s="114">
        <v>3230</v>
      </c>
      <c r="I219">
        <f>IF([1]!TbRegistroSaídas[[#This Row],[Data do Caixa Realizado]]="",0,MONTH([1]!TbRegistroSaídas[[#This Row],[Data do Caixa Realizado]]))</f>
        <v>5</v>
      </c>
      <c r="J219">
        <f>IF([1]!TbRegistroSaídas[[#This Row],[Data do Caixa Realizado]]="",0,YEAR([1]!TbRegistroSaídas[[#This Row],[Data do Caixa Realizado]]))</f>
        <v>2019</v>
      </c>
      <c r="K219">
        <f>IF([1]!TbRegistroSaídas[[#This Row],[Data da Competência]]="",0,MONTH([1]!TbRegistroSaídas[[#This Row],[Data da Competência]]))</f>
        <v>5</v>
      </c>
      <c r="L219">
        <f>IF([1]!TbRegistroSaídas[[#This Row],[Data da Competência]]="",0,YEAR([1]!TbRegistroSaídas[[#This Row],[Data da Competência]]))</f>
        <v>2019</v>
      </c>
      <c r="M219">
        <f>IF([1]!TbRegistroSaídas[[#This Row],[Data do Caixa Previsto]]="",0,MONTH([1]!TbRegistroSaídas[[#This Row],[Data do Caixa Previsto]]))</f>
        <v>5</v>
      </c>
      <c r="N219">
        <f>IF([1]!TbRegistroSaídas[[#This Row],[Data do Caixa Previsto]]="",0,YEAR([1]!TbRegistroSaídas[[#This Row],[Data do Caixa Previsto]]))</f>
        <v>2019</v>
      </c>
      <c r="O21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20" spans="2:15" x14ac:dyDescent="0.25">
      <c r="B220" s="11">
        <v>43601</v>
      </c>
      <c r="C220" s="11">
        <v>43601</v>
      </c>
      <c r="D220" s="11">
        <v>43601</v>
      </c>
      <c r="E220" t="s">
        <v>36</v>
      </c>
      <c r="F220" t="s">
        <v>43</v>
      </c>
      <c r="G220" t="s">
        <v>498</v>
      </c>
      <c r="H220" s="114">
        <v>4030</v>
      </c>
      <c r="I220">
        <f>IF([1]!TbRegistroSaídas[[#This Row],[Data do Caixa Realizado]]="",0,MONTH([1]!TbRegistroSaídas[[#This Row],[Data do Caixa Realizado]]))</f>
        <v>5</v>
      </c>
      <c r="J220">
        <f>IF([1]!TbRegistroSaídas[[#This Row],[Data do Caixa Realizado]]="",0,YEAR([1]!TbRegistroSaídas[[#This Row],[Data do Caixa Realizado]]))</f>
        <v>2019</v>
      </c>
      <c r="K220">
        <f>IF([1]!TbRegistroSaídas[[#This Row],[Data da Competência]]="",0,MONTH([1]!TbRegistroSaídas[[#This Row],[Data da Competência]]))</f>
        <v>5</v>
      </c>
      <c r="L220">
        <f>IF([1]!TbRegistroSaídas[[#This Row],[Data da Competência]]="",0,YEAR([1]!TbRegistroSaídas[[#This Row],[Data da Competência]]))</f>
        <v>2019</v>
      </c>
      <c r="M220">
        <f>IF([1]!TbRegistroSaídas[[#This Row],[Data do Caixa Previsto]]="",0,MONTH([1]!TbRegistroSaídas[[#This Row],[Data do Caixa Previsto]]))</f>
        <v>5</v>
      </c>
      <c r="N220">
        <f>IF([1]!TbRegistroSaídas[[#This Row],[Data do Caixa Previsto]]="",0,YEAR([1]!TbRegistroSaídas[[#This Row],[Data do Caixa Previsto]]))</f>
        <v>2019</v>
      </c>
      <c r="O22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21" spans="2:15" x14ac:dyDescent="0.25">
      <c r="B221" s="11">
        <v>43604</v>
      </c>
      <c r="C221" s="11">
        <v>43604</v>
      </c>
      <c r="D221" s="11">
        <v>43604</v>
      </c>
      <c r="E221" t="s">
        <v>36</v>
      </c>
      <c r="F221" t="s">
        <v>35</v>
      </c>
      <c r="G221" t="s">
        <v>499</v>
      </c>
      <c r="H221" s="114">
        <v>1367</v>
      </c>
      <c r="I221">
        <f>IF([1]!TbRegistroSaídas[[#This Row],[Data do Caixa Realizado]]="",0,MONTH([1]!TbRegistroSaídas[[#This Row],[Data do Caixa Realizado]]))</f>
        <v>5</v>
      </c>
      <c r="J221">
        <f>IF([1]!TbRegistroSaídas[[#This Row],[Data do Caixa Realizado]]="",0,YEAR([1]!TbRegistroSaídas[[#This Row],[Data do Caixa Realizado]]))</f>
        <v>2019</v>
      </c>
      <c r="K221">
        <f>IF([1]!TbRegistroSaídas[[#This Row],[Data da Competência]]="",0,MONTH([1]!TbRegistroSaídas[[#This Row],[Data da Competência]]))</f>
        <v>5</v>
      </c>
      <c r="L221">
        <f>IF([1]!TbRegistroSaídas[[#This Row],[Data da Competência]]="",0,YEAR([1]!TbRegistroSaídas[[#This Row],[Data da Competência]]))</f>
        <v>2019</v>
      </c>
      <c r="M221">
        <f>IF([1]!TbRegistroSaídas[[#This Row],[Data do Caixa Previsto]]="",0,MONTH([1]!TbRegistroSaídas[[#This Row],[Data do Caixa Previsto]]))</f>
        <v>5</v>
      </c>
      <c r="N221">
        <f>IF([1]!TbRegistroSaídas[[#This Row],[Data do Caixa Previsto]]="",0,YEAR([1]!TbRegistroSaídas[[#This Row],[Data do Caixa Previsto]]))</f>
        <v>2019</v>
      </c>
      <c r="O22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22" spans="2:15" x14ac:dyDescent="0.25">
      <c r="B222" s="11">
        <v>43626.228578403905</v>
      </c>
      <c r="C222" s="11">
        <v>43607</v>
      </c>
      <c r="D222" s="11">
        <v>43626.228578403905</v>
      </c>
      <c r="E222" t="s">
        <v>36</v>
      </c>
      <c r="F222" t="s">
        <v>43</v>
      </c>
      <c r="G222" t="s">
        <v>500</v>
      </c>
      <c r="H222" s="114">
        <v>3945</v>
      </c>
      <c r="I222">
        <f>IF([1]!TbRegistroSaídas[[#This Row],[Data do Caixa Realizado]]="",0,MONTH([1]!TbRegistroSaídas[[#This Row],[Data do Caixa Realizado]]))</f>
        <v>6</v>
      </c>
      <c r="J222">
        <f>IF([1]!TbRegistroSaídas[[#This Row],[Data do Caixa Realizado]]="",0,YEAR([1]!TbRegistroSaídas[[#This Row],[Data do Caixa Realizado]]))</f>
        <v>2019</v>
      </c>
      <c r="K222">
        <f>IF([1]!TbRegistroSaídas[[#This Row],[Data da Competência]]="",0,MONTH([1]!TbRegistroSaídas[[#This Row],[Data da Competência]]))</f>
        <v>5</v>
      </c>
      <c r="L222">
        <f>IF([1]!TbRegistroSaídas[[#This Row],[Data da Competência]]="",0,YEAR([1]!TbRegistroSaídas[[#This Row],[Data da Competência]]))</f>
        <v>2019</v>
      </c>
      <c r="M222">
        <f>IF([1]!TbRegistroSaídas[[#This Row],[Data do Caixa Previsto]]="",0,MONTH([1]!TbRegistroSaídas[[#This Row],[Data do Caixa Previsto]]))</f>
        <v>6</v>
      </c>
      <c r="N222">
        <f>IF([1]!TbRegistroSaídas[[#This Row],[Data do Caixa Previsto]]="",0,YEAR([1]!TbRegistroSaídas[[#This Row],[Data do Caixa Previsto]]))</f>
        <v>2019</v>
      </c>
      <c r="O22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23" spans="2:15" x14ac:dyDescent="0.25">
      <c r="B223" s="11">
        <v>43610</v>
      </c>
      <c r="C223" s="11">
        <v>43610</v>
      </c>
      <c r="D223" s="11">
        <v>43610</v>
      </c>
      <c r="E223" t="s">
        <v>36</v>
      </c>
      <c r="F223" t="s">
        <v>31</v>
      </c>
      <c r="G223" t="s">
        <v>501</v>
      </c>
      <c r="H223" s="114">
        <v>4518</v>
      </c>
      <c r="I223">
        <f>IF([1]!TbRegistroSaídas[[#This Row],[Data do Caixa Realizado]]="",0,MONTH([1]!TbRegistroSaídas[[#This Row],[Data do Caixa Realizado]]))</f>
        <v>5</v>
      </c>
      <c r="J223">
        <f>IF([1]!TbRegistroSaídas[[#This Row],[Data do Caixa Realizado]]="",0,YEAR([1]!TbRegistroSaídas[[#This Row],[Data do Caixa Realizado]]))</f>
        <v>2019</v>
      </c>
      <c r="K223">
        <f>IF([1]!TbRegistroSaídas[[#This Row],[Data da Competência]]="",0,MONTH([1]!TbRegistroSaídas[[#This Row],[Data da Competência]]))</f>
        <v>5</v>
      </c>
      <c r="L223">
        <f>IF([1]!TbRegistroSaídas[[#This Row],[Data da Competência]]="",0,YEAR([1]!TbRegistroSaídas[[#This Row],[Data da Competência]]))</f>
        <v>2019</v>
      </c>
      <c r="M223">
        <f>IF([1]!TbRegistroSaídas[[#This Row],[Data do Caixa Previsto]]="",0,MONTH([1]!TbRegistroSaídas[[#This Row],[Data do Caixa Previsto]]))</f>
        <v>5</v>
      </c>
      <c r="N223">
        <f>IF([1]!TbRegistroSaídas[[#This Row],[Data do Caixa Previsto]]="",0,YEAR([1]!TbRegistroSaídas[[#This Row],[Data do Caixa Previsto]]))</f>
        <v>2019</v>
      </c>
      <c r="O223"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24" spans="2:15" x14ac:dyDescent="0.25">
      <c r="B224" s="11" t="s">
        <v>68</v>
      </c>
      <c r="C224" s="11">
        <v>43614</v>
      </c>
      <c r="D224" s="11">
        <v>43645.508154061761</v>
      </c>
      <c r="E224" t="s">
        <v>36</v>
      </c>
      <c r="F224" t="s">
        <v>43</v>
      </c>
      <c r="G224" t="s">
        <v>345</v>
      </c>
      <c r="H224" s="114">
        <v>3086</v>
      </c>
      <c r="I224">
        <f>IF([1]!TbRegistroSaídas[[#This Row],[Data do Caixa Realizado]]="",0,MONTH([1]!TbRegistroSaídas[[#This Row],[Data do Caixa Realizado]]))</f>
        <v>0</v>
      </c>
      <c r="J224">
        <f>IF([1]!TbRegistroSaídas[[#This Row],[Data do Caixa Realizado]]="",0,YEAR([1]!TbRegistroSaídas[[#This Row],[Data do Caixa Realizado]]))</f>
        <v>0</v>
      </c>
      <c r="K224">
        <f>IF([1]!TbRegistroSaídas[[#This Row],[Data da Competência]]="",0,MONTH([1]!TbRegistroSaídas[[#This Row],[Data da Competência]]))</f>
        <v>5</v>
      </c>
      <c r="L224">
        <f>IF([1]!TbRegistroSaídas[[#This Row],[Data da Competência]]="",0,YEAR([1]!TbRegistroSaídas[[#This Row],[Data da Competência]]))</f>
        <v>2019</v>
      </c>
      <c r="M224">
        <f>IF([1]!TbRegistroSaídas[[#This Row],[Data do Caixa Previsto]]="",0,MONTH([1]!TbRegistroSaídas[[#This Row],[Data do Caixa Previsto]]))</f>
        <v>6</v>
      </c>
      <c r="N224">
        <f>IF([1]!TbRegistroSaídas[[#This Row],[Data do Caixa Previsto]]="",0,YEAR([1]!TbRegistroSaídas[[#This Row],[Data do Caixa Previsto]]))</f>
        <v>2019</v>
      </c>
      <c r="O224"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1707.4918459382388</v>
      </c>
    </row>
    <row r="225" spans="2:15" x14ac:dyDescent="0.25">
      <c r="B225" s="11">
        <v>43628.969362987358</v>
      </c>
      <c r="C225" s="11">
        <v>43619</v>
      </c>
      <c r="D225" s="11">
        <v>43628.969362987358</v>
      </c>
      <c r="E225" t="s">
        <v>36</v>
      </c>
      <c r="F225" t="s">
        <v>32</v>
      </c>
      <c r="G225" t="s">
        <v>502</v>
      </c>
      <c r="H225" s="114">
        <v>297</v>
      </c>
      <c r="I225">
        <f>IF([1]!TbRegistroSaídas[[#This Row],[Data do Caixa Realizado]]="",0,MONTH([1]!TbRegistroSaídas[[#This Row],[Data do Caixa Realizado]]))</f>
        <v>6</v>
      </c>
      <c r="J225">
        <f>IF([1]!TbRegistroSaídas[[#This Row],[Data do Caixa Realizado]]="",0,YEAR([1]!TbRegistroSaídas[[#This Row],[Data do Caixa Realizado]]))</f>
        <v>2019</v>
      </c>
      <c r="K225">
        <f>IF([1]!TbRegistroSaídas[[#This Row],[Data da Competência]]="",0,MONTH([1]!TbRegistroSaídas[[#This Row],[Data da Competência]]))</f>
        <v>6</v>
      </c>
      <c r="L225">
        <f>IF([1]!TbRegistroSaídas[[#This Row],[Data da Competência]]="",0,YEAR([1]!TbRegistroSaídas[[#This Row],[Data da Competência]]))</f>
        <v>2019</v>
      </c>
      <c r="M225">
        <f>IF([1]!TbRegistroSaídas[[#This Row],[Data do Caixa Previsto]]="",0,MONTH([1]!TbRegistroSaídas[[#This Row],[Data do Caixa Previsto]]))</f>
        <v>6</v>
      </c>
      <c r="N225">
        <f>IF([1]!TbRegistroSaídas[[#This Row],[Data do Caixa Previsto]]="",0,YEAR([1]!TbRegistroSaídas[[#This Row],[Data do Caixa Previsto]]))</f>
        <v>2019</v>
      </c>
      <c r="O225"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26" spans="2:15" x14ac:dyDescent="0.25">
      <c r="B226" s="11">
        <v>43639.192651531121</v>
      </c>
      <c r="C226" s="11">
        <v>43623</v>
      </c>
      <c r="D226" s="11">
        <v>43639.192651531121</v>
      </c>
      <c r="E226" t="s">
        <v>36</v>
      </c>
      <c r="F226" t="s">
        <v>35</v>
      </c>
      <c r="G226" t="s">
        <v>503</v>
      </c>
      <c r="H226" s="114">
        <v>3226</v>
      </c>
      <c r="I226">
        <f>IF([1]!TbRegistroSaídas[[#This Row],[Data do Caixa Realizado]]="",0,MONTH([1]!TbRegistroSaídas[[#This Row],[Data do Caixa Realizado]]))</f>
        <v>6</v>
      </c>
      <c r="J226">
        <f>IF([1]!TbRegistroSaídas[[#This Row],[Data do Caixa Realizado]]="",0,YEAR([1]!TbRegistroSaídas[[#This Row],[Data do Caixa Realizado]]))</f>
        <v>2019</v>
      </c>
      <c r="K226">
        <f>IF([1]!TbRegistroSaídas[[#This Row],[Data da Competência]]="",0,MONTH([1]!TbRegistroSaídas[[#This Row],[Data da Competência]]))</f>
        <v>6</v>
      </c>
      <c r="L226">
        <f>IF([1]!TbRegistroSaídas[[#This Row],[Data da Competência]]="",0,YEAR([1]!TbRegistroSaídas[[#This Row],[Data da Competência]]))</f>
        <v>2019</v>
      </c>
      <c r="M226">
        <f>IF([1]!TbRegistroSaídas[[#This Row],[Data do Caixa Previsto]]="",0,MONTH([1]!TbRegistroSaídas[[#This Row],[Data do Caixa Previsto]]))</f>
        <v>6</v>
      </c>
      <c r="N226">
        <f>IF([1]!TbRegistroSaídas[[#This Row],[Data do Caixa Previsto]]="",0,YEAR([1]!TbRegistroSaídas[[#This Row],[Data do Caixa Previsto]]))</f>
        <v>2019</v>
      </c>
      <c r="O226"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27" spans="2:15" x14ac:dyDescent="0.25">
      <c r="B227" s="11">
        <v>43625</v>
      </c>
      <c r="C227" s="11">
        <v>43625</v>
      </c>
      <c r="D227" s="11">
        <v>43625</v>
      </c>
      <c r="E227" t="s">
        <v>36</v>
      </c>
      <c r="F227" t="s">
        <v>43</v>
      </c>
      <c r="G227" t="s">
        <v>504</v>
      </c>
      <c r="H227" s="114">
        <v>2338</v>
      </c>
      <c r="I227">
        <f>IF([1]!TbRegistroSaídas[[#This Row],[Data do Caixa Realizado]]="",0,MONTH([1]!TbRegistroSaídas[[#This Row],[Data do Caixa Realizado]]))</f>
        <v>6</v>
      </c>
      <c r="J227">
        <f>IF([1]!TbRegistroSaídas[[#This Row],[Data do Caixa Realizado]]="",0,YEAR([1]!TbRegistroSaídas[[#This Row],[Data do Caixa Realizado]]))</f>
        <v>2019</v>
      </c>
      <c r="K227">
        <f>IF([1]!TbRegistroSaídas[[#This Row],[Data da Competência]]="",0,MONTH([1]!TbRegistroSaídas[[#This Row],[Data da Competência]]))</f>
        <v>6</v>
      </c>
      <c r="L227">
        <f>IF([1]!TbRegistroSaídas[[#This Row],[Data da Competência]]="",0,YEAR([1]!TbRegistroSaídas[[#This Row],[Data da Competência]]))</f>
        <v>2019</v>
      </c>
      <c r="M227">
        <f>IF([1]!TbRegistroSaídas[[#This Row],[Data do Caixa Previsto]]="",0,MONTH([1]!TbRegistroSaídas[[#This Row],[Data do Caixa Previsto]]))</f>
        <v>6</v>
      </c>
      <c r="N227">
        <f>IF([1]!TbRegistroSaídas[[#This Row],[Data do Caixa Previsto]]="",0,YEAR([1]!TbRegistroSaídas[[#This Row],[Data do Caixa Previsto]]))</f>
        <v>2019</v>
      </c>
      <c r="O227"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28" spans="2:15" x14ac:dyDescent="0.25">
      <c r="B228" s="11">
        <v>43664.662454163976</v>
      </c>
      <c r="C228" s="11">
        <v>43632</v>
      </c>
      <c r="D228" s="11">
        <v>43664.662454163976</v>
      </c>
      <c r="E228" t="s">
        <v>36</v>
      </c>
      <c r="F228" t="s">
        <v>35</v>
      </c>
      <c r="G228" t="s">
        <v>505</v>
      </c>
      <c r="H228" s="114">
        <v>3773</v>
      </c>
      <c r="I228">
        <f>IF([1]!TbRegistroSaídas[[#This Row],[Data do Caixa Realizado]]="",0,MONTH([1]!TbRegistroSaídas[[#This Row],[Data do Caixa Realizado]]))</f>
        <v>7</v>
      </c>
      <c r="J228">
        <f>IF([1]!TbRegistroSaídas[[#This Row],[Data do Caixa Realizado]]="",0,YEAR([1]!TbRegistroSaídas[[#This Row],[Data do Caixa Realizado]]))</f>
        <v>2019</v>
      </c>
      <c r="K228">
        <f>IF([1]!TbRegistroSaídas[[#This Row],[Data da Competência]]="",0,MONTH([1]!TbRegistroSaídas[[#This Row],[Data da Competência]]))</f>
        <v>6</v>
      </c>
      <c r="L228">
        <f>IF([1]!TbRegistroSaídas[[#This Row],[Data da Competência]]="",0,YEAR([1]!TbRegistroSaídas[[#This Row],[Data da Competência]]))</f>
        <v>2019</v>
      </c>
      <c r="M228">
        <f>IF([1]!TbRegistroSaídas[[#This Row],[Data do Caixa Previsto]]="",0,MONTH([1]!TbRegistroSaídas[[#This Row],[Data do Caixa Previsto]]))</f>
        <v>7</v>
      </c>
      <c r="N228">
        <f>IF([1]!TbRegistroSaídas[[#This Row],[Data do Caixa Previsto]]="",0,YEAR([1]!TbRegistroSaídas[[#This Row],[Data do Caixa Previsto]]))</f>
        <v>2019</v>
      </c>
      <c r="O228"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29" spans="2:15" x14ac:dyDescent="0.25">
      <c r="B229" s="11" t="s">
        <v>68</v>
      </c>
      <c r="C229" s="11">
        <v>43635</v>
      </c>
      <c r="D229" s="11">
        <v>43686.085509883509</v>
      </c>
      <c r="E229" t="s">
        <v>36</v>
      </c>
      <c r="F229" t="s">
        <v>35</v>
      </c>
      <c r="G229" t="s">
        <v>506</v>
      </c>
      <c r="H229" s="114">
        <v>2759</v>
      </c>
      <c r="I229">
        <f>IF([1]!TbRegistroSaídas[[#This Row],[Data do Caixa Realizado]]="",0,MONTH([1]!TbRegistroSaídas[[#This Row],[Data do Caixa Realizado]]))</f>
        <v>0</v>
      </c>
      <c r="J229">
        <f>IF([1]!TbRegistroSaídas[[#This Row],[Data do Caixa Realizado]]="",0,YEAR([1]!TbRegistroSaídas[[#This Row],[Data do Caixa Realizado]]))</f>
        <v>0</v>
      </c>
      <c r="K229">
        <f>IF([1]!TbRegistroSaídas[[#This Row],[Data da Competência]]="",0,MONTH([1]!TbRegistroSaídas[[#This Row],[Data da Competência]]))</f>
        <v>6</v>
      </c>
      <c r="L229">
        <f>IF([1]!TbRegistroSaídas[[#This Row],[Data da Competência]]="",0,YEAR([1]!TbRegistroSaídas[[#This Row],[Data da Competência]]))</f>
        <v>2019</v>
      </c>
      <c r="M229">
        <f>IF([1]!TbRegistroSaídas[[#This Row],[Data do Caixa Previsto]]="",0,MONTH([1]!TbRegistroSaídas[[#This Row],[Data do Caixa Previsto]]))</f>
        <v>8</v>
      </c>
      <c r="N229">
        <f>IF([1]!TbRegistroSaídas[[#This Row],[Data do Caixa Previsto]]="",0,YEAR([1]!TbRegistroSaídas[[#This Row],[Data do Caixa Previsto]]))</f>
        <v>2019</v>
      </c>
      <c r="O229"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1666.9144901164909</v>
      </c>
    </row>
    <row r="230" spans="2:15" x14ac:dyDescent="0.25">
      <c r="B230" s="11">
        <v>43637</v>
      </c>
      <c r="C230" s="11">
        <v>43637</v>
      </c>
      <c r="D230" s="11">
        <v>43637</v>
      </c>
      <c r="E230" t="s">
        <v>36</v>
      </c>
      <c r="F230" t="s">
        <v>35</v>
      </c>
      <c r="G230" t="s">
        <v>507</v>
      </c>
      <c r="H230" s="114">
        <v>1425</v>
      </c>
      <c r="I230">
        <f>IF([1]!TbRegistroSaídas[[#This Row],[Data do Caixa Realizado]]="",0,MONTH([1]!TbRegistroSaídas[[#This Row],[Data do Caixa Realizado]]))</f>
        <v>6</v>
      </c>
      <c r="J230">
        <f>IF([1]!TbRegistroSaídas[[#This Row],[Data do Caixa Realizado]]="",0,YEAR([1]!TbRegistroSaídas[[#This Row],[Data do Caixa Realizado]]))</f>
        <v>2019</v>
      </c>
      <c r="K230">
        <f>IF([1]!TbRegistroSaídas[[#This Row],[Data da Competência]]="",0,MONTH([1]!TbRegistroSaídas[[#This Row],[Data da Competência]]))</f>
        <v>6</v>
      </c>
      <c r="L230">
        <f>IF([1]!TbRegistroSaídas[[#This Row],[Data da Competência]]="",0,YEAR([1]!TbRegistroSaídas[[#This Row],[Data da Competência]]))</f>
        <v>2019</v>
      </c>
      <c r="M230">
        <f>IF([1]!TbRegistroSaídas[[#This Row],[Data do Caixa Previsto]]="",0,MONTH([1]!TbRegistroSaídas[[#This Row],[Data do Caixa Previsto]]))</f>
        <v>6</v>
      </c>
      <c r="N230">
        <f>IF([1]!TbRegistroSaídas[[#This Row],[Data do Caixa Previsto]]="",0,YEAR([1]!TbRegistroSaídas[[#This Row],[Data do Caixa Previsto]]))</f>
        <v>2019</v>
      </c>
      <c r="O230"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31" spans="2:15" x14ac:dyDescent="0.25">
      <c r="B231" s="11">
        <v>43639</v>
      </c>
      <c r="C231" s="11">
        <v>43639</v>
      </c>
      <c r="D231" s="11">
        <v>43639</v>
      </c>
      <c r="E231" t="s">
        <v>36</v>
      </c>
      <c r="F231" t="s">
        <v>35</v>
      </c>
      <c r="G231" t="s">
        <v>508</v>
      </c>
      <c r="H231" s="114">
        <v>332</v>
      </c>
      <c r="I231">
        <f>IF([1]!TbRegistroSaídas[[#This Row],[Data do Caixa Realizado]]="",0,MONTH([1]!TbRegistroSaídas[[#This Row],[Data do Caixa Realizado]]))</f>
        <v>6</v>
      </c>
      <c r="J231">
        <f>IF([1]!TbRegistroSaídas[[#This Row],[Data do Caixa Realizado]]="",0,YEAR([1]!TbRegistroSaídas[[#This Row],[Data do Caixa Realizado]]))</f>
        <v>2019</v>
      </c>
      <c r="K231">
        <f>IF([1]!TbRegistroSaídas[[#This Row],[Data da Competência]]="",0,MONTH([1]!TbRegistroSaídas[[#This Row],[Data da Competência]]))</f>
        <v>6</v>
      </c>
      <c r="L231">
        <f>IF([1]!TbRegistroSaídas[[#This Row],[Data da Competência]]="",0,YEAR([1]!TbRegistroSaídas[[#This Row],[Data da Competência]]))</f>
        <v>2019</v>
      </c>
      <c r="M231">
        <f>IF([1]!TbRegistroSaídas[[#This Row],[Data do Caixa Previsto]]="",0,MONTH([1]!TbRegistroSaídas[[#This Row],[Data do Caixa Previsto]]))</f>
        <v>6</v>
      </c>
      <c r="N231">
        <f>IF([1]!TbRegistroSaídas[[#This Row],[Data do Caixa Previsto]]="",0,YEAR([1]!TbRegistroSaídas[[#This Row],[Data do Caixa Previsto]]))</f>
        <v>2019</v>
      </c>
      <c r="O231"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row r="232" spans="2:15" x14ac:dyDescent="0.25">
      <c r="B232" s="11">
        <v>43653.195660130521</v>
      </c>
      <c r="C232" s="11">
        <v>43646</v>
      </c>
      <c r="D232" s="11">
        <v>43653.195660130521</v>
      </c>
      <c r="E232" t="s">
        <v>36</v>
      </c>
      <c r="F232" t="s">
        <v>43</v>
      </c>
      <c r="G232" t="s">
        <v>509</v>
      </c>
      <c r="H232" s="114">
        <v>2819</v>
      </c>
      <c r="I232">
        <f>IF([1]!TbRegistroSaídas[[#This Row],[Data do Caixa Realizado]]="",0,MONTH([1]!TbRegistroSaídas[[#This Row],[Data do Caixa Realizado]]))</f>
        <v>7</v>
      </c>
      <c r="J232">
        <f>IF([1]!TbRegistroSaídas[[#This Row],[Data do Caixa Realizado]]="",0,YEAR([1]!TbRegistroSaídas[[#This Row],[Data do Caixa Realizado]]))</f>
        <v>2019</v>
      </c>
      <c r="K232">
        <f>IF([1]!TbRegistroSaídas[[#This Row],[Data da Competência]]="",0,MONTH([1]!TbRegistroSaídas[[#This Row],[Data da Competência]]))</f>
        <v>6</v>
      </c>
      <c r="L232">
        <f>IF([1]!TbRegistroSaídas[[#This Row],[Data da Competência]]="",0,YEAR([1]!TbRegistroSaídas[[#This Row],[Data da Competência]]))</f>
        <v>2019</v>
      </c>
      <c r="M232">
        <f>IF([1]!TbRegistroSaídas[[#This Row],[Data do Caixa Previsto]]="",0,MONTH([1]!TbRegistroSaídas[[#This Row],[Data do Caixa Previsto]]))</f>
        <v>7</v>
      </c>
      <c r="N232">
        <f>IF([1]!TbRegistroSaídas[[#This Row],[Data do Caixa Previsto]]="",0,YEAR([1]!TbRegistroSaídas[[#This Row],[Data do Caixa Previsto]]))</f>
        <v>2019</v>
      </c>
      <c r="O232" s="120">
        <f ca="1">IF(TbRegistroSaídas[[#This Row],[Data do Caixa Realizado]]&lt;&gt;"",
 IF(TbRegistroSaídas[[#This Row],[Data do Caixa Realizado]]&gt;TbRegistroSaídas[[#This Row],[Data do Caixa Previsto]],
 TbRegistroSaídas[[#This Row],[Data do Caixa Realizado]]-TbRegistroSaídas[[#This Row],[Data do Caixa Previsto]],
 0
 ),
 IF(TODAY()&gt;TbRegistroSaídas[[#This Row],[Data do Caixa Previsto]],
 TODAY()-TbRegistroSaídas[[#This Row],[Data do Caixa Previsto]],
 0
 )
)</f>
        <v>0</v>
      </c>
    </row>
  </sheetData>
  <dataValidations count="2">
    <dataValidation type="list" allowBlank="1" showInputMessage="1" showErrorMessage="1" sqref="E4:E232" xr:uid="{BD3C38F4-567A-4783-816E-ACCC7547AEEC}">
      <formula1>PCSaídasN1_Nível_1</formula1>
    </dataValidation>
    <dataValidation type="list" allowBlank="1" showInputMessage="1" showErrorMessage="1" sqref="F4:F232" xr:uid="{314188F4-83AA-4E4D-857D-0C8940C5FB7B}">
      <formula1>OFFSET(PCSaídasN2_Nível_2, MATCH(E4, PCSaídasN2_Nível_1, 0)-1, 0, COUNTIF(PCSaídasN2_Nível_1, E4))</formula1>
    </dataValidation>
  </dataValidation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486C5-ECCD-44C5-8120-5EE569BEC1CC}">
  <dimension ref="A1:O26"/>
  <sheetViews>
    <sheetView showGridLines="0" workbookViewId="0">
      <selection activeCell="C3" sqref="C3"/>
    </sheetView>
  </sheetViews>
  <sheetFormatPr defaultColWidth="0" defaultRowHeight="15" x14ac:dyDescent="0.25"/>
  <cols>
    <col min="1" max="1" width="2.7109375" customWidth="1"/>
    <col min="2" max="2" width="19.85546875" customWidth="1"/>
    <col min="3" max="14" width="13.7109375" customWidth="1"/>
    <col min="15" max="15" width="3.5703125" customWidth="1"/>
    <col min="16" max="16384" width="9.140625" hidden="1"/>
  </cols>
  <sheetData>
    <row r="1" spans="2:14" ht="39.950000000000003" customHeight="1" x14ac:dyDescent="0.25">
      <c r="B1" s="4" t="s">
        <v>0</v>
      </c>
      <c r="C1" s="1"/>
      <c r="D1" s="1"/>
      <c r="E1" s="1"/>
      <c r="F1" s="1"/>
      <c r="G1" s="1"/>
      <c r="H1" s="1"/>
      <c r="I1" s="1"/>
      <c r="J1" s="137" t="s">
        <v>7</v>
      </c>
      <c r="K1" s="137"/>
      <c r="L1" s="137"/>
      <c r="M1" s="137"/>
      <c r="N1" s="137"/>
    </row>
    <row r="2" spans="2:14" ht="39.950000000000003" customHeight="1" x14ac:dyDescent="0.25">
      <c r="B2" s="3"/>
      <c r="C2" s="3"/>
      <c r="D2" s="3"/>
      <c r="E2" s="3"/>
      <c r="F2" s="3"/>
      <c r="G2" s="3"/>
      <c r="H2" s="3"/>
      <c r="I2" s="3"/>
      <c r="J2" s="3"/>
      <c r="K2" s="3"/>
      <c r="L2" s="3"/>
      <c r="M2" s="3"/>
      <c r="N2" s="3"/>
    </row>
    <row r="3" spans="2:14" ht="20.100000000000001" customHeight="1" x14ac:dyDescent="0.25">
      <c r="B3" s="23" t="s">
        <v>510</v>
      </c>
      <c r="C3" s="131">
        <v>2019</v>
      </c>
      <c r="D3" s="3"/>
      <c r="E3" s="3"/>
      <c r="F3" s="3"/>
      <c r="G3" s="3"/>
      <c r="H3" s="3"/>
      <c r="I3" s="3"/>
      <c r="J3" s="3"/>
      <c r="K3" s="3"/>
      <c r="L3" s="3"/>
      <c r="M3" s="3"/>
      <c r="N3" s="3"/>
    </row>
    <row r="4" spans="2:14" ht="20.100000000000001" customHeight="1" x14ac:dyDescent="0.25">
      <c r="B4" s="3"/>
      <c r="C4" s="3"/>
      <c r="D4" s="3"/>
      <c r="E4" s="3"/>
      <c r="F4" s="3"/>
      <c r="G4" s="3"/>
      <c r="H4" s="3"/>
      <c r="I4" s="3"/>
      <c r="J4" s="3"/>
      <c r="K4" s="3"/>
      <c r="L4" s="3"/>
      <c r="M4" s="3"/>
      <c r="N4" s="3"/>
    </row>
    <row r="5" spans="2:14" ht="20.100000000000001" customHeight="1" x14ac:dyDescent="0.25">
      <c r="C5">
        <v>1</v>
      </c>
      <c r="D5">
        <v>2</v>
      </c>
      <c r="E5">
        <v>3</v>
      </c>
      <c r="F5">
        <v>4</v>
      </c>
      <c r="G5">
        <v>5</v>
      </c>
      <c r="H5">
        <v>6</v>
      </c>
      <c r="I5">
        <v>7</v>
      </c>
      <c r="J5">
        <v>8</v>
      </c>
      <c r="K5">
        <v>9</v>
      </c>
      <c r="L5">
        <v>10</v>
      </c>
      <c r="M5">
        <v>11</v>
      </c>
      <c r="N5">
        <v>12</v>
      </c>
    </row>
    <row r="6" spans="2:14" ht="20.100000000000001" customHeight="1" x14ac:dyDescent="0.25">
      <c r="B6" s="22" t="s">
        <v>511</v>
      </c>
    </row>
    <row r="7" spans="2:14" ht="20.100000000000001" customHeight="1" x14ac:dyDescent="0.25">
      <c r="B7" s="26" t="s">
        <v>512</v>
      </c>
      <c r="C7" s="24" t="s">
        <v>516</v>
      </c>
      <c r="D7" s="24" t="s">
        <v>517</v>
      </c>
      <c r="E7" s="24" t="s">
        <v>518</v>
      </c>
      <c r="F7" s="24" t="s">
        <v>519</v>
      </c>
      <c r="G7" s="24" t="s">
        <v>520</v>
      </c>
      <c r="H7" s="24" t="s">
        <v>521</v>
      </c>
      <c r="I7" s="24" t="s">
        <v>522</v>
      </c>
      <c r="J7" s="24" t="s">
        <v>523</v>
      </c>
      <c r="K7" s="24" t="s">
        <v>524</v>
      </c>
      <c r="L7" s="24" t="s">
        <v>525</v>
      </c>
      <c r="M7" s="24" t="s">
        <v>526</v>
      </c>
      <c r="N7" s="25" t="s">
        <v>527</v>
      </c>
    </row>
    <row r="8" spans="2:14" ht="20.100000000000001" customHeight="1" x14ac:dyDescent="0.25">
      <c r="B8" s="36" t="s">
        <v>528</v>
      </c>
      <c r="C8" s="38">
        <f>SUMIFS(TbRegistroEntradas[Valor],TbRegistroEntradas[Ano Caixa],"&lt;"&amp;C3,TbRegistroEntradas[Ano Caixa],"&lt;&gt;0")-SUMIFS(TbRegistroSaídas[Valor],TbRegistroSaídas[Ano Caixa],"&lt;"&amp;C3,TbRegistroSaídas[Ano Caixa],"&lt;&gt;0")</f>
        <v>55108</v>
      </c>
      <c r="D8" s="38">
        <f>C11</f>
        <v>40555</v>
      </c>
      <c r="E8" s="38">
        <f t="shared" ref="E8:N8" si="0">D11</f>
        <v>41511</v>
      </c>
      <c r="F8" s="38">
        <f t="shared" si="0"/>
        <v>53246</v>
      </c>
      <c r="G8" s="38">
        <f t="shared" si="0"/>
        <v>39267</v>
      </c>
      <c r="H8" s="38">
        <f t="shared" si="0"/>
        <v>28688</v>
      </c>
      <c r="I8" s="38">
        <f t="shared" si="0"/>
        <v>19950</v>
      </c>
      <c r="J8" s="38">
        <f t="shared" si="0"/>
        <v>16469</v>
      </c>
      <c r="K8" s="38">
        <f t="shared" si="0"/>
        <v>19070</v>
      </c>
      <c r="L8" s="38">
        <f t="shared" si="0"/>
        <v>20549</v>
      </c>
      <c r="M8" s="38">
        <f t="shared" si="0"/>
        <v>21057</v>
      </c>
      <c r="N8" s="39">
        <f t="shared" si="0"/>
        <v>21057</v>
      </c>
    </row>
    <row r="9" spans="2:14" ht="20.100000000000001" customHeight="1" x14ac:dyDescent="0.25">
      <c r="B9" s="31" t="s">
        <v>513</v>
      </c>
      <c r="C9" s="37">
        <f>SUMIFS(TbRegistroEntradas[Valor],TbRegistroEntradas[Mês Caixa],C5,TbRegistroEntradas[Ano Caixa],$C$3)</f>
        <v>17211</v>
      </c>
      <c r="D9" s="37">
        <f>SUMIFS(TbRegistroEntradas[Valor],TbRegistroEntradas[Mês Caixa],D5,TbRegistroEntradas[Ano Caixa],$C$3)</f>
        <v>25105</v>
      </c>
      <c r="E9" s="37">
        <f>SUMIFS(TbRegistroEntradas[Valor],TbRegistroEntradas[Mês Caixa],E5,TbRegistroEntradas[Ano Caixa],$C$3)</f>
        <v>34872</v>
      </c>
      <c r="F9" s="37">
        <f>SUMIFS(TbRegistroEntradas[Valor],TbRegistroEntradas[Mês Caixa],F5,TbRegistroEntradas[Ano Caixa],$C$3)</f>
        <v>13810</v>
      </c>
      <c r="G9" s="37">
        <f>SUMIFS(TbRegistroEntradas[Valor],TbRegistroEntradas[Mês Caixa],G5,TbRegistroEntradas[Ano Caixa],$C$3)</f>
        <v>16506</v>
      </c>
      <c r="H9" s="37">
        <f>SUMIFS(TbRegistroEntradas[Valor],TbRegistroEntradas[Mês Caixa],H5,TbRegistroEntradas[Ano Caixa],$C$3)</f>
        <v>12345</v>
      </c>
      <c r="I9" s="37">
        <f>SUMIFS(TbRegistroEntradas[Valor],TbRegistroEntradas[Mês Caixa],I5,TbRegistroEntradas[Ano Caixa],$C$3)</f>
        <v>4849</v>
      </c>
      <c r="J9" s="37">
        <f>SUMIFS(TbRegistroEntradas[Valor],TbRegistroEntradas[Mês Caixa],J5,TbRegistroEntradas[Ano Caixa],$C$3)</f>
        <v>2601</v>
      </c>
      <c r="K9" s="37">
        <f>SUMIFS(TbRegistroEntradas[Valor],TbRegistroEntradas[Mês Caixa],K5,TbRegistroEntradas[Ano Caixa],$C$3)</f>
        <v>1479</v>
      </c>
      <c r="L9" s="37">
        <f>SUMIFS(TbRegistroEntradas[Valor],TbRegistroEntradas[Mês Caixa],L5,TbRegistroEntradas[Ano Caixa],$C$3)</f>
        <v>508</v>
      </c>
      <c r="M9" s="37">
        <f>SUMIFS(TbRegistroEntradas[Valor],TbRegistroEntradas[Mês Caixa],M5,TbRegistroEntradas[Ano Caixa],$C$3)</f>
        <v>0</v>
      </c>
      <c r="N9" s="27">
        <f>SUMIFS(TbRegistroEntradas[Valor],TbRegistroEntradas[Mês Caixa],N5,TbRegistroEntradas[Ano Caixa],$C$3)</f>
        <v>0</v>
      </c>
    </row>
    <row r="10" spans="2:14" ht="20.100000000000001" customHeight="1" x14ac:dyDescent="0.25">
      <c r="B10" s="31" t="s">
        <v>514</v>
      </c>
      <c r="C10" s="37">
        <f>SUMIFS(TbRegistroSaídas[Valor],TbRegistroSaídas[Mês Caixa],C5,TbRegistroSaídas[Ano Caixa],$C$3)</f>
        <v>31764</v>
      </c>
      <c r="D10" s="37">
        <f>SUMIFS(TbRegistroSaídas[Valor],TbRegistroSaídas[Mês Caixa],D5,TbRegistroSaídas[Ano Caixa],$C$3)</f>
        <v>24149</v>
      </c>
      <c r="E10" s="37">
        <f>SUMIFS(TbRegistroSaídas[Valor],TbRegistroSaídas[Mês Caixa],E5,TbRegistroSaídas[Ano Caixa],$C$3)</f>
        <v>23137</v>
      </c>
      <c r="F10" s="37">
        <f>SUMIFS(TbRegistroSaídas[Valor],TbRegistroSaídas[Mês Caixa],F5,TbRegistroSaídas[Ano Caixa],$C$3)</f>
        <v>27789</v>
      </c>
      <c r="G10" s="37">
        <f>SUMIFS(TbRegistroSaídas[Valor],TbRegistroSaídas[Mês Caixa],G5,TbRegistroSaídas[Ano Caixa],$C$3)</f>
        <v>27085</v>
      </c>
      <c r="H10" s="37">
        <f>SUMIFS(TbRegistroSaídas[Valor],TbRegistroSaídas[Mês Caixa],H5,TbRegistroSaídas[Ano Caixa],$C$3)</f>
        <v>21083</v>
      </c>
      <c r="I10" s="37">
        <f>SUMIFS(TbRegistroSaídas[Valor],TbRegistroSaídas[Mês Caixa],I5,TbRegistroSaídas[Ano Caixa],$C$3)</f>
        <v>8330</v>
      </c>
      <c r="J10" s="37">
        <f>SUMIFS(TbRegistroSaídas[Valor],TbRegistroSaídas[Mês Caixa],J5,TbRegistroSaídas[Ano Caixa],$C$3)</f>
        <v>0</v>
      </c>
      <c r="K10" s="37">
        <f>SUMIFS(TbRegistroSaídas[Valor],TbRegistroSaídas[Mês Caixa],K5,TbRegistroSaídas[Ano Caixa],$C$3)</f>
        <v>0</v>
      </c>
      <c r="L10" s="37">
        <f>SUMIFS(TbRegistroSaídas[Valor],TbRegistroSaídas[Mês Caixa],L5,TbRegistroSaídas[Ano Caixa],$C$3)</f>
        <v>0</v>
      </c>
      <c r="M10" s="37">
        <f>SUMIFS(TbRegistroSaídas[Valor],TbRegistroSaídas[Mês Caixa],M5,TbRegistroSaídas[Ano Caixa],$C$3)</f>
        <v>0</v>
      </c>
      <c r="N10" s="27">
        <f>SUMIFS(TbRegistroSaídas[Valor],TbRegistroSaídas[Mês Caixa],N5,TbRegistroSaídas[Ano Caixa],$C$3)</f>
        <v>0</v>
      </c>
    </row>
    <row r="11" spans="2:14" ht="20.100000000000001" customHeight="1" x14ac:dyDescent="0.25">
      <c r="B11" s="34" t="s">
        <v>515</v>
      </c>
      <c r="C11" s="28">
        <f>C8+C9-C10</f>
        <v>40555</v>
      </c>
      <c r="D11" s="28">
        <f t="shared" ref="D11:N11" si="1">D8+D9-D10</f>
        <v>41511</v>
      </c>
      <c r="E11" s="28">
        <f t="shared" si="1"/>
        <v>53246</v>
      </c>
      <c r="F11" s="28">
        <f t="shared" si="1"/>
        <v>39267</v>
      </c>
      <c r="G11" s="28">
        <f t="shared" si="1"/>
        <v>28688</v>
      </c>
      <c r="H11" s="28">
        <f t="shared" si="1"/>
        <v>19950</v>
      </c>
      <c r="I11" s="28">
        <f t="shared" si="1"/>
        <v>16469</v>
      </c>
      <c r="J11" s="28">
        <f t="shared" si="1"/>
        <v>19070</v>
      </c>
      <c r="K11" s="28">
        <f t="shared" si="1"/>
        <v>20549</v>
      </c>
      <c r="L11" s="28">
        <f t="shared" si="1"/>
        <v>21057</v>
      </c>
      <c r="M11" s="28">
        <f t="shared" si="1"/>
        <v>21057</v>
      </c>
      <c r="N11" s="29">
        <f t="shared" si="1"/>
        <v>21057</v>
      </c>
    </row>
    <row r="12" spans="2:14" ht="20.100000000000001" customHeight="1" x14ac:dyDescent="0.25"/>
    <row r="13" spans="2:14" ht="20.100000000000001" customHeight="1" x14ac:dyDescent="0.25">
      <c r="B13" s="30" t="s">
        <v>529</v>
      </c>
    </row>
    <row r="14" spans="2:14" ht="20.100000000000001" customHeight="1" x14ac:dyDescent="0.25">
      <c r="B14" s="26" t="s">
        <v>512</v>
      </c>
      <c r="C14" s="24" t="s">
        <v>516</v>
      </c>
      <c r="D14" s="24" t="s">
        <v>517</v>
      </c>
      <c r="E14" s="24" t="s">
        <v>518</v>
      </c>
      <c r="F14" s="24" t="s">
        <v>519</v>
      </c>
      <c r="G14" s="24" t="s">
        <v>520</v>
      </c>
      <c r="H14" s="24" t="s">
        <v>521</v>
      </c>
      <c r="I14" s="24" t="s">
        <v>522</v>
      </c>
      <c r="J14" s="24" t="s">
        <v>523</v>
      </c>
      <c r="K14" s="24" t="s">
        <v>524</v>
      </c>
      <c r="L14" s="24" t="s">
        <v>525</v>
      </c>
      <c r="M14" s="24" t="s">
        <v>526</v>
      </c>
      <c r="N14" s="25" t="s">
        <v>527</v>
      </c>
    </row>
    <row r="15" spans="2:14" ht="20.100000000000001" customHeight="1" x14ac:dyDescent="0.25">
      <c r="B15" s="36" t="s">
        <v>528</v>
      </c>
      <c r="C15" s="38">
        <f>SUMIFS(TbRegistroEntradas[Valor],TbRegistroEntradas[Ano Competência],"&lt;"&amp;C3,TbRegistroEntradas[Ano Competência],"&lt;&gt;0")-SUMIFS(TbRegistroSaídas[Valor],TbRegistroSaídas[Ano Competência],"&lt;"&amp;C3,TbRegistroSaídas[Ano Competência],"&lt;&gt;0")</f>
        <v>42367</v>
      </c>
      <c r="D15" s="38">
        <f>C18</f>
        <v>34684</v>
      </c>
      <c r="E15" s="38">
        <f t="shared" ref="E15:N15" si="2">D18</f>
        <v>40111</v>
      </c>
      <c r="F15" s="38">
        <f t="shared" si="2"/>
        <v>27220</v>
      </c>
      <c r="G15" s="38">
        <f t="shared" si="2"/>
        <v>23048</v>
      </c>
      <c r="H15" s="38">
        <f t="shared" si="2"/>
        <v>8340</v>
      </c>
      <c r="I15" s="38">
        <f t="shared" si="2"/>
        <v>3236</v>
      </c>
      <c r="J15" s="38">
        <f t="shared" si="2"/>
        <v>3236</v>
      </c>
      <c r="K15" s="38">
        <f t="shared" si="2"/>
        <v>3236</v>
      </c>
      <c r="L15" s="38">
        <f t="shared" si="2"/>
        <v>3236</v>
      </c>
      <c r="M15" s="38">
        <f t="shared" si="2"/>
        <v>3236</v>
      </c>
      <c r="N15" s="39">
        <f t="shared" si="2"/>
        <v>3236</v>
      </c>
    </row>
    <row r="16" spans="2:14" ht="20.100000000000001" customHeight="1" x14ac:dyDescent="0.25">
      <c r="B16" s="31" t="s">
        <v>513</v>
      </c>
      <c r="C16" s="37">
        <f>SUMIFS(TbRegistroEntradas[Valor],TbRegistroEntradas[Mês Competência],C5,TbRegistroEntradas[Ano Competência],$C$3)</f>
        <v>22897</v>
      </c>
      <c r="D16" s="37">
        <f>SUMIFS(TbRegistroEntradas[Valor],TbRegistroEntradas[Mês Competência],D5,TbRegistroEntradas[Ano Competência],$C$3)</f>
        <v>31755</v>
      </c>
      <c r="E16" s="37">
        <f>SUMIFS(TbRegistroEntradas[Valor],TbRegistroEntradas[Mês Competência],E5,TbRegistroEntradas[Ano Competência],$C$3)</f>
        <v>18601</v>
      </c>
      <c r="F16" s="37">
        <f>SUMIFS(TbRegistroEntradas[Valor],TbRegistroEntradas[Mês Competência],F5,TbRegistroEntradas[Ano Competência],$C$3)</f>
        <v>22939</v>
      </c>
      <c r="G16" s="37">
        <f>SUMIFS(TbRegistroEntradas[Valor],TbRegistroEntradas[Mês Competência],G5,TbRegistroEntradas[Ano Competência],$C$3)</f>
        <v>22602</v>
      </c>
      <c r="H16" s="37">
        <f>SUMIFS(TbRegistroEntradas[Valor],TbRegistroEntradas[Mês Competência],H5,TbRegistroEntradas[Ano Competência],$C$3)</f>
        <v>11865</v>
      </c>
      <c r="I16" s="37">
        <f>SUMIFS(TbRegistroEntradas[Valor],TbRegistroEntradas[Mês Competência],I5,TbRegistroEntradas[Ano Competência],$C$3)</f>
        <v>0</v>
      </c>
      <c r="J16" s="37">
        <f>SUMIFS(TbRegistroEntradas[Valor],TbRegistroEntradas[Mês Competência],J5,TbRegistroEntradas[Ano Competência],$C$3)</f>
        <v>0</v>
      </c>
      <c r="K16" s="37">
        <f>SUMIFS(TbRegistroEntradas[Valor],TbRegistroEntradas[Mês Competência],K5,TbRegistroEntradas[Ano Competência],$C$3)</f>
        <v>0</v>
      </c>
      <c r="L16" s="37">
        <f>SUMIFS(TbRegistroEntradas[Valor],TbRegistroEntradas[Mês Competência],L5,TbRegistroEntradas[Ano Competência],$C$3)</f>
        <v>0</v>
      </c>
      <c r="M16" s="37">
        <f>SUMIFS(TbRegistroEntradas[Valor],TbRegistroEntradas[Mês Competência],M5,TbRegistroEntradas[Ano Competência],$C$3)</f>
        <v>0</v>
      </c>
      <c r="N16" s="27">
        <f>SUMIFS(TbRegistroEntradas[Valor],TbRegistroEntradas[Mês Competência],N5,TbRegistroEntradas[Ano Competência],$C$3)</f>
        <v>0</v>
      </c>
    </row>
    <row r="17" spans="2:14" ht="20.100000000000001" customHeight="1" x14ac:dyDescent="0.25">
      <c r="B17" s="31" t="s">
        <v>514</v>
      </c>
      <c r="C17" s="37">
        <f>SUMIFS(TbRegistroSaídas[Valor],TbRegistroSaídas[Mês Competência],C5,TbRegistroSaídas[Ano Competência],$C$3)</f>
        <v>30580</v>
      </c>
      <c r="D17" s="37">
        <f>SUMIFS(TbRegistroSaídas[Valor],TbRegistroSaídas[Mês Competência],D5,TbRegistroSaídas[Ano Competência],$C$3)</f>
        <v>26328</v>
      </c>
      <c r="E17" s="37">
        <f>SUMIFS(TbRegistroSaídas[Valor],TbRegistroSaídas[Mês Competência],E5,TbRegistroSaídas[Ano Competência],$C$3)</f>
        <v>31492</v>
      </c>
      <c r="F17" s="37">
        <f>SUMIFS(TbRegistroSaídas[Valor],TbRegistroSaídas[Mês Competência],F5,TbRegistroSaídas[Ano Competência],$C$3)</f>
        <v>27111</v>
      </c>
      <c r="G17" s="37">
        <f>SUMIFS(TbRegistroSaídas[Valor],TbRegistroSaídas[Mês Competência],G5,TbRegistroSaídas[Ano Competência],$C$3)</f>
        <v>37310</v>
      </c>
      <c r="H17" s="37">
        <f>SUMIFS(TbRegistroSaídas[Valor],TbRegistroSaídas[Mês Competência],H5,TbRegistroSaídas[Ano Competência],$C$3)</f>
        <v>16969</v>
      </c>
      <c r="I17" s="37">
        <f>SUMIFS(TbRegistroSaídas[Valor],TbRegistroSaídas[Mês Competência],I5,TbRegistroSaídas[Ano Competência],$C$3)</f>
        <v>0</v>
      </c>
      <c r="J17" s="37">
        <f>SUMIFS(TbRegistroSaídas[Valor],TbRegistroSaídas[Mês Competência],J5,TbRegistroSaídas[Ano Competência],$C$3)</f>
        <v>0</v>
      </c>
      <c r="K17" s="37">
        <f>SUMIFS(TbRegistroSaídas[Valor],TbRegistroSaídas[Mês Competência],K5,TbRegistroSaídas[Ano Competência],$C$3)</f>
        <v>0</v>
      </c>
      <c r="L17" s="37">
        <f>SUMIFS(TbRegistroSaídas[Valor],TbRegistroSaídas[Mês Competência],L5,TbRegistroSaídas[Ano Competência],$C$3)</f>
        <v>0</v>
      </c>
      <c r="M17" s="37">
        <f>SUMIFS(TbRegistroSaídas[Valor],TbRegistroSaídas[Mês Competência],M5,TbRegistroSaídas[Ano Competência],$C$3)</f>
        <v>0</v>
      </c>
      <c r="N17" s="27">
        <f>SUMIFS(TbRegistroSaídas[Valor],TbRegistroSaídas[Mês Competência],N5,TbRegistroSaídas[Ano Competência],$C$3)</f>
        <v>0</v>
      </c>
    </row>
    <row r="18" spans="2:14" ht="20.100000000000001" customHeight="1" x14ac:dyDescent="0.25">
      <c r="B18" s="34" t="s">
        <v>515</v>
      </c>
      <c r="C18" s="28">
        <f>C15+C16-C17</f>
        <v>34684</v>
      </c>
      <c r="D18" s="28">
        <f t="shared" ref="D18:N18" si="3">D15+D16-D17</f>
        <v>40111</v>
      </c>
      <c r="E18" s="28">
        <f t="shared" si="3"/>
        <v>27220</v>
      </c>
      <c r="F18" s="28">
        <f t="shared" si="3"/>
        <v>23048</v>
      </c>
      <c r="G18" s="28">
        <f t="shared" si="3"/>
        <v>8340</v>
      </c>
      <c r="H18" s="28">
        <f t="shared" si="3"/>
        <v>3236</v>
      </c>
      <c r="I18" s="28">
        <f t="shared" si="3"/>
        <v>3236</v>
      </c>
      <c r="J18" s="28">
        <f t="shared" si="3"/>
        <v>3236</v>
      </c>
      <c r="K18" s="28">
        <f t="shared" si="3"/>
        <v>3236</v>
      </c>
      <c r="L18" s="28">
        <f t="shared" si="3"/>
        <v>3236</v>
      </c>
      <c r="M18" s="28">
        <f t="shared" si="3"/>
        <v>3236</v>
      </c>
      <c r="N18" s="29">
        <f t="shared" si="3"/>
        <v>3236</v>
      </c>
    </row>
    <row r="19" spans="2:14" ht="20.100000000000001" customHeight="1" x14ac:dyDescent="0.25"/>
    <row r="20" spans="2:14" ht="20.100000000000001" customHeight="1" x14ac:dyDescent="0.25">
      <c r="B20" s="35" t="s">
        <v>530</v>
      </c>
    </row>
    <row r="21" spans="2:14" ht="20.100000000000001" customHeight="1" x14ac:dyDescent="0.25">
      <c r="B21" s="26" t="s">
        <v>512</v>
      </c>
      <c r="C21" s="24" t="s">
        <v>516</v>
      </c>
      <c r="D21" s="24" t="s">
        <v>517</v>
      </c>
      <c r="E21" s="24" t="s">
        <v>518</v>
      </c>
      <c r="F21" s="24" t="s">
        <v>519</v>
      </c>
      <c r="G21" s="24" t="s">
        <v>520</v>
      </c>
      <c r="H21" s="24" t="s">
        <v>521</v>
      </c>
      <c r="I21" s="24" t="s">
        <v>522</v>
      </c>
      <c r="J21" s="24" t="s">
        <v>523</v>
      </c>
      <c r="K21" s="24" t="s">
        <v>524</v>
      </c>
      <c r="L21" s="24" t="s">
        <v>525</v>
      </c>
      <c r="M21" s="24" t="s">
        <v>526</v>
      </c>
      <c r="N21" s="25" t="s">
        <v>527</v>
      </c>
    </row>
    <row r="22" spans="2:14" ht="20.100000000000001" customHeight="1" x14ac:dyDescent="0.25">
      <c r="B22" s="36" t="s">
        <v>531</v>
      </c>
      <c r="C22" s="38">
        <f>C16</f>
        <v>22897</v>
      </c>
      <c r="D22" s="38">
        <f t="shared" ref="D22:N22" si="4">D16</f>
        <v>31755</v>
      </c>
      <c r="E22" s="38">
        <f t="shared" si="4"/>
        <v>18601</v>
      </c>
      <c r="F22" s="38">
        <f t="shared" si="4"/>
        <v>22939</v>
      </c>
      <c r="G22" s="38">
        <f t="shared" si="4"/>
        <v>22602</v>
      </c>
      <c r="H22" s="38">
        <f t="shared" si="4"/>
        <v>11865</v>
      </c>
      <c r="I22" s="38">
        <f t="shared" si="4"/>
        <v>0</v>
      </c>
      <c r="J22" s="38">
        <f t="shared" si="4"/>
        <v>0</v>
      </c>
      <c r="K22" s="38">
        <f t="shared" si="4"/>
        <v>0</v>
      </c>
      <c r="L22" s="38">
        <f t="shared" si="4"/>
        <v>0</v>
      </c>
      <c r="M22" s="38">
        <f t="shared" si="4"/>
        <v>0</v>
      </c>
      <c r="N22" s="39">
        <f t="shared" si="4"/>
        <v>0</v>
      </c>
    </row>
    <row r="23" spans="2:14" ht="20.100000000000001" customHeight="1" x14ac:dyDescent="0.25">
      <c r="B23" s="31" t="s">
        <v>532</v>
      </c>
      <c r="C23" s="37">
        <f>C17</f>
        <v>30580</v>
      </c>
      <c r="D23" s="37">
        <f t="shared" ref="D23:N23" si="5">D17</f>
        <v>26328</v>
      </c>
      <c r="E23" s="37">
        <f t="shared" si="5"/>
        <v>31492</v>
      </c>
      <c r="F23" s="37">
        <f t="shared" si="5"/>
        <v>27111</v>
      </c>
      <c r="G23" s="37">
        <f t="shared" si="5"/>
        <v>37310</v>
      </c>
      <c r="H23" s="37">
        <f t="shared" si="5"/>
        <v>16969</v>
      </c>
      <c r="I23" s="37">
        <f t="shared" si="5"/>
        <v>0</v>
      </c>
      <c r="J23" s="37">
        <f t="shared" si="5"/>
        <v>0</v>
      </c>
      <c r="K23" s="37">
        <f t="shared" si="5"/>
        <v>0</v>
      </c>
      <c r="L23" s="37">
        <f t="shared" si="5"/>
        <v>0</v>
      </c>
      <c r="M23" s="37">
        <f t="shared" si="5"/>
        <v>0</v>
      </c>
      <c r="N23" s="27">
        <f t="shared" si="5"/>
        <v>0</v>
      </c>
    </row>
    <row r="24" spans="2:14" ht="20.100000000000001" customHeight="1" x14ac:dyDescent="0.25">
      <c r="B24" s="32" t="s">
        <v>533</v>
      </c>
      <c r="C24" s="40">
        <f>IF(C22-C23&gt;0,C22-C23,0)</f>
        <v>0</v>
      </c>
      <c r="D24" s="40">
        <f t="shared" ref="D24:N24" si="6">IF(D22-D23&gt;0,D22-D23,0)</f>
        <v>5427</v>
      </c>
      <c r="E24" s="40">
        <f t="shared" si="6"/>
        <v>0</v>
      </c>
      <c r="F24" s="40">
        <f t="shared" si="6"/>
        <v>0</v>
      </c>
      <c r="G24" s="40">
        <f t="shared" si="6"/>
        <v>0</v>
      </c>
      <c r="H24" s="40">
        <f t="shared" si="6"/>
        <v>0</v>
      </c>
      <c r="I24" s="40">
        <f t="shared" si="6"/>
        <v>0</v>
      </c>
      <c r="J24" s="40">
        <f t="shared" si="6"/>
        <v>0</v>
      </c>
      <c r="K24" s="40">
        <f t="shared" si="6"/>
        <v>0</v>
      </c>
      <c r="L24" s="40">
        <f t="shared" si="6"/>
        <v>0</v>
      </c>
      <c r="M24" s="40">
        <f t="shared" si="6"/>
        <v>0</v>
      </c>
      <c r="N24" s="42">
        <f t="shared" si="6"/>
        <v>0</v>
      </c>
    </row>
    <row r="25" spans="2:14" ht="20.100000000000001" customHeight="1" x14ac:dyDescent="0.25">
      <c r="B25" s="33" t="s">
        <v>534</v>
      </c>
      <c r="C25" s="41">
        <f>IF(C22-C23&lt;0,C22-C23,0)</f>
        <v>-7683</v>
      </c>
      <c r="D25" s="41">
        <f t="shared" ref="D25:N25" si="7">IF(D22-D23&lt;0,D22-D23,0)</f>
        <v>0</v>
      </c>
      <c r="E25" s="41">
        <f t="shared" si="7"/>
        <v>-12891</v>
      </c>
      <c r="F25" s="41">
        <f t="shared" si="7"/>
        <v>-4172</v>
      </c>
      <c r="G25" s="41">
        <f t="shared" si="7"/>
        <v>-14708</v>
      </c>
      <c r="H25" s="41">
        <f t="shared" si="7"/>
        <v>-5104</v>
      </c>
      <c r="I25" s="41">
        <f t="shared" si="7"/>
        <v>0</v>
      </c>
      <c r="J25" s="41">
        <f t="shared" si="7"/>
        <v>0</v>
      </c>
      <c r="K25" s="41">
        <f t="shared" si="7"/>
        <v>0</v>
      </c>
      <c r="L25" s="41">
        <f t="shared" si="7"/>
        <v>0</v>
      </c>
      <c r="M25" s="41">
        <f t="shared" si="7"/>
        <v>0</v>
      </c>
      <c r="N25" s="43">
        <f t="shared" si="7"/>
        <v>0</v>
      </c>
    </row>
    <row r="26" spans="2:14" ht="20.100000000000001" customHeight="1" x14ac:dyDescent="0.25">
      <c r="B26" s="44" t="s">
        <v>535</v>
      </c>
      <c r="C26" s="45">
        <f>C22-C23</f>
        <v>-7683</v>
      </c>
      <c r="D26" s="45">
        <f>D22-D23+C26</f>
        <v>-2256</v>
      </c>
      <c r="E26" s="45">
        <f t="shared" ref="E26:N26" si="8">E22-E23+D26</f>
        <v>-15147</v>
      </c>
      <c r="F26" s="45">
        <f t="shared" si="8"/>
        <v>-19319</v>
      </c>
      <c r="G26" s="45">
        <f t="shared" si="8"/>
        <v>-34027</v>
      </c>
      <c r="H26" s="45">
        <f t="shared" si="8"/>
        <v>-39131</v>
      </c>
      <c r="I26" s="45">
        <f t="shared" si="8"/>
        <v>-39131</v>
      </c>
      <c r="J26" s="45">
        <f t="shared" si="8"/>
        <v>-39131</v>
      </c>
      <c r="K26" s="45">
        <f t="shared" si="8"/>
        <v>-39131</v>
      </c>
      <c r="L26" s="45">
        <f t="shared" si="8"/>
        <v>-39131</v>
      </c>
      <c r="M26" s="45">
        <f t="shared" si="8"/>
        <v>-39131</v>
      </c>
      <c r="N26" s="46">
        <f t="shared" si="8"/>
        <v>-39131</v>
      </c>
    </row>
  </sheetData>
  <sheetProtection sheet="1" objects="1" scenarios="1" selectLockedCells="1"/>
  <mergeCells count="1">
    <mergeCell ref="J1:N1"/>
  </mergeCells>
  <phoneticPr fontId="8"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8AE1B-E06E-43BD-9969-0F0C473DA260}">
  <dimension ref="A1:O17"/>
  <sheetViews>
    <sheetView showGridLines="0" workbookViewId="0">
      <selection activeCell="E1" sqref="E1"/>
    </sheetView>
  </sheetViews>
  <sheetFormatPr defaultColWidth="0" defaultRowHeight="15" x14ac:dyDescent="0.25"/>
  <cols>
    <col min="1" max="1" width="2.7109375" customWidth="1"/>
    <col min="2" max="2" width="30.7109375" customWidth="1"/>
    <col min="3" max="15" width="11.7109375" customWidth="1"/>
    <col min="16" max="16384" width="9.140625" hidden="1"/>
  </cols>
  <sheetData>
    <row r="1" spans="2:15" ht="39.950000000000003" customHeight="1" x14ac:dyDescent="0.25">
      <c r="B1" s="4" t="s">
        <v>0</v>
      </c>
      <c r="C1" s="1"/>
      <c r="D1" s="1"/>
      <c r="E1" s="1"/>
      <c r="F1" s="1"/>
      <c r="G1" s="1"/>
      <c r="H1" s="1"/>
      <c r="I1" s="1"/>
      <c r="J1" s="1"/>
      <c r="K1" s="1"/>
      <c r="L1" s="1"/>
      <c r="M1" s="1"/>
      <c r="N1" s="1"/>
      <c r="O1" s="5" t="s">
        <v>14</v>
      </c>
    </row>
    <row r="2" spans="2:15" ht="80.25" customHeight="1" x14ac:dyDescent="0.25">
      <c r="B2" s="3"/>
      <c r="C2" s="3"/>
      <c r="D2" s="3"/>
      <c r="E2" s="3"/>
      <c r="F2" s="3"/>
      <c r="G2" s="3"/>
      <c r="H2" s="3"/>
      <c r="I2" s="3"/>
      <c r="J2" s="3"/>
      <c r="K2" s="3"/>
      <c r="L2" s="3"/>
      <c r="M2" s="3"/>
      <c r="N2" s="3"/>
      <c r="O2" s="3"/>
    </row>
    <row r="3" spans="2:15" ht="20.100000000000001" customHeight="1" x14ac:dyDescent="0.25"/>
    <row r="4" spans="2:15" ht="20.100000000000001" customHeight="1" x14ac:dyDescent="0.25">
      <c r="B4" s="47" t="s">
        <v>539</v>
      </c>
      <c r="C4" t="s">
        <v>540</v>
      </c>
    </row>
    <row r="5" spans="2:15" ht="20.100000000000001" customHeight="1" x14ac:dyDescent="0.25"/>
    <row r="6" spans="2:15" ht="20.100000000000001" customHeight="1" x14ac:dyDescent="0.25">
      <c r="B6" s="47" t="s">
        <v>544</v>
      </c>
      <c r="C6" s="47" t="s">
        <v>543</v>
      </c>
    </row>
    <row r="7" spans="2:15" ht="20.100000000000001" customHeight="1" x14ac:dyDescent="0.25">
      <c r="B7" s="47" t="s">
        <v>541</v>
      </c>
      <c r="C7">
        <v>1</v>
      </c>
      <c r="D7">
        <v>2</v>
      </c>
      <c r="E7">
        <v>3</v>
      </c>
      <c r="F7">
        <v>4</v>
      </c>
      <c r="G7">
        <v>5</v>
      </c>
      <c r="H7">
        <v>6</v>
      </c>
      <c r="I7">
        <v>7</v>
      </c>
      <c r="J7">
        <v>8</v>
      </c>
      <c r="K7">
        <v>9</v>
      </c>
      <c r="L7">
        <v>10</v>
      </c>
      <c r="M7">
        <v>11</v>
      </c>
      <c r="N7">
        <v>12</v>
      </c>
      <c r="O7" t="s">
        <v>542</v>
      </c>
    </row>
    <row r="8" spans="2:15" ht="20.100000000000001" customHeight="1" x14ac:dyDescent="0.25">
      <c r="B8" s="48" t="s">
        <v>24</v>
      </c>
      <c r="C8" s="50">
        <v>43479</v>
      </c>
      <c r="D8" s="50">
        <v>56516</v>
      </c>
      <c r="E8" s="50">
        <v>56059</v>
      </c>
      <c r="F8" s="50">
        <v>53165</v>
      </c>
      <c r="G8" s="50">
        <v>41611</v>
      </c>
      <c r="H8" s="50">
        <v>40576</v>
      </c>
      <c r="I8" s="50">
        <v>33298</v>
      </c>
      <c r="J8" s="50">
        <v>32438</v>
      </c>
      <c r="K8" s="50">
        <v>57887</v>
      </c>
      <c r="L8" s="50">
        <v>60137</v>
      </c>
      <c r="M8" s="50">
        <v>62513</v>
      </c>
      <c r="N8" s="50">
        <v>50431</v>
      </c>
      <c r="O8" s="50">
        <v>588110</v>
      </c>
    </row>
    <row r="9" spans="2:15" ht="20.100000000000001" customHeight="1" x14ac:dyDescent="0.25">
      <c r="B9" s="49" t="s">
        <v>31</v>
      </c>
      <c r="C9" s="50">
        <v>6857</v>
      </c>
      <c r="D9" s="50">
        <v>4461</v>
      </c>
      <c r="E9" s="50">
        <v>4800</v>
      </c>
      <c r="F9" s="50"/>
      <c r="G9" s="50">
        <v>10875</v>
      </c>
      <c r="H9" s="50">
        <v>9700</v>
      </c>
      <c r="I9" s="50">
        <v>2713</v>
      </c>
      <c r="J9" s="50">
        <v>3080</v>
      </c>
      <c r="K9" s="50">
        <v>2502</v>
      </c>
      <c r="L9" s="50">
        <v>7137</v>
      </c>
      <c r="M9" s="50">
        <v>7046</v>
      </c>
      <c r="N9" s="50">
        <v>4559</v>
      </c>
      <c r="O9" s="50">
        <v>63730</v>
      </c>
    </row>
    <row r="10" spans="2:15" ht="20.100000000000001" customHeight="1" x14ac:dyDescent="0.25">
      <c r="B10" s="49" t="s">
        <v>32</v>
      </c>
      <c r="C10" s="50">
        <v>3843</v>
      </c>
      <c r="D10" s="50">
        <v>11762</v>
      </c>
      <c r="E10" s="50">
        <v>9651</v>
      </c>
      <c r="F10" s="50">
        <v>14524</v>
      </c>
      <c r="G10" s="50">
        <v>5167</v>
      </c>
      <c r="H10" s="50">
        <v>2114</v>
      </c>
      <c r="I10" s="50">
        <v>8337</v>
      </c>
      <c r="J10" s="50">
        <v>7817</v>
      </c>
      <c r="K10" s="50">
        <v>14528</v>
      </c>
      <c r="L10" s="50">
        <v>10422</v>
      </c>
      <c r="M10" s="50">
        <v>10619</v>
      </c>
      <c r="N10" s="50">
        <v>16304</v>
      </c>
      <c r="O10" s="50">
        <v>115088</v>
      </c>
    </row>
    <row r="11" spans="2:15" ht="20.100000000000001" customHeight="1" x14ac:dyDescent="0.25">
      <c r="B11" s="49" t="s">
        <v>33</v>
      </c>
      <c r="C11" s="50">
        <v>6759</v>
      </c>
      <c r="D11" s="50">
        <v>13905</v>
      </c>
      <c r="E11" s="50">
        <v>10836</v>
      </c>
      <c r="F11" s="50">
        <v>5066</v>
      </c>
      <c r="G11" s="50">
        <v>2805</v>
      </c>
      <c r="H11" s="50">
        <v>4706</v>
      </c>
      <c r="I11" s="50">
        <v>1306</v>
      </c>
      <c r="J11" s="50"/>
      <c r="K11" s="50">
        <v>10681</v>
      </c>
      <c r="L11" s="50">
        <v>6465</v>
      </c>
      <c r="M11" s="50">
        <v>7373</v>
      </c>
      <c r="N11" s="50"/>
      <c r="O11" s="50">
        <v>69902</v>
      </c>
    </row>
    <row r="12" spans="2:15" ht="20.100000000000001" customHeight="1" x14ac:dyDescent="0.25">
      <c r="B12" s="49" t="s">
        <v>34</v>
      </c>
      <c r="C12" s="50">
        <v>18745</v>
      </c>
      <c r="D12" s="50">
        <v>20692</v>
      </c>
      <c r="E12" s="50">
        <v>13156</v>
      </c>
      <c r="F12" s="50">
        <v>32957</v>
      </c>
      <c r="G12" s="50">
        <v>13902</v>
      </c>
      <c r="H12" s="50">
        <v>19226</v>
      </c>
      <c r="I12" s="50">
        <v>12594</v>
      </c>
      <c r="J12" s="50">
        <v>11590</v>
      </c>
      <c r="K12" s="50">
        <v>27785</v>
      </c>
      <c r="L12" s="50">
        <v>20341</v>
      </c>
      <c r="M12" s="50">
        <v>28005</v>
      </c>
      <c r="N12" s="50">
        <v>17080</v>
      </c>
      <c r="O12" s="50">
        <v>236073</v>
      </c>
    </row>
    <row r="13" spans="2:15" ht="20.100000000000001" customHeight="1" x14ac:dyDescent="0.25">
      <c r="B13" s="49" t="s">
        <v>35</v>
      </c>
      <c r="C13" s="50">
        <v>7275</v>
      </c>
      <c r="D13" s="50">
        <v>5696</v>
      </c>
      <c r="E13" s="50">
        <v>17616</v>
      </c>
      <c r="F13" s="50">
        <v>618</v>
      </c>
      <c r="G13" s="50">
        <v>8862</v>
      </c>
      <c r="H13" s="50">
        <v>4830</v>
      </c>
      <c r="I13" s="50">
        <v>8348</v>
      </c>
      <c r="J13" s="50">
        <v>9951</v>
      </c>
      <c r="K13" s="50">
        <v>2391</v>
      </c>
      <c r="L13" s="50">
        <v>15772</v>
      </c>
      <c r="M13" s="50">
        <v>9470</v>
      </c>
      <c r="N13" s="50">
        <v>12488</v>
      </c>
      <c r="O13" s="50">
        <v>103317</v>
      </c>
    </row>
    <row r="14" spans="2:15" ht="20.100000000000001" customHeight="1" x14ac:dyDescent="0.25">
      <c r="B14" s="48" t="s">
        <v>542</v>
      </c>
      <c r="C14" s="50">
        <v>43479</v>
      </c>
      <c r="D14" s="50">
        <v>56516</v>
      </c>
      <c r="E14" s="50">
        <v>56059</v>
      </c>
      <c r="F14" s="50">
        <v>53165</v>
      </c>
      <c r="G14" s="50">
        <v>41611</v>
      </c>
      <c r="H14" s="50">
        <v>40576</v>
      </c>
      <c r="I14" s="50">
        <v>33298</v>
      </c>
      <c r="J14" s="50">
        <v>32438</v>
      </c>
      <c r="K14" s="50">
        <v>57887</v>
      </c>
      <c r="L14" s="50">
        <v>60137</v>
      </c>
      <c r="M14" s="50">
        <v>62513</v>
      </c>
      <c r="N14" s="50">
        <v>50431</v>
      </c>
      <c r="O14" s="50">
        <v>588110</v>
      </c>
    </row>
    <row r="15" spans="2:15" ht="20.100000000000001" customHeight="1" x14ac:dyDescent="0.25"/>
    <row r="16" spans="2:15" ht="20.100000000000001" customHeight="1" x14ac:dyDescent="0.25"/>
    <row r="17" ht="20.100000000000001" customHeight="1" x14ac:dyDescent="0.25"/>
  </sheetData>
  <sheetProtection select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8CADA-0B5B-4E99-855C-A7093F3C911D}">
  <dimension ref="A1:O17"/>
  <sheetViews>
    <sheetView showGridLines="0" topLeftCell="A2" workbookViewId="0">
      <selection activeCell="G5" sqref="G5"/>
    </sheetView>
  </sheetViews>
  <sheetFormatPr defaultColWidth="0" defaultRowHeight="15" x14ac:dyDescent="0.25"/>
  <cols>
    <col min="1" max="1" width="2.7109375" customWidth="1"/>
    <col min="2" max="2" width="30.7109375" customWidth="1"/>
    <col min="3" max="15" width="11.7109375" customWidth="1"/>
    <col min="16" max="16384" width="9.140625" hidden="1"/>
  </cols>
  <sheetData>
    <row r="1" spans="2:15" ht="39.950000000000003" customHeight="1" x14ac:dyDescent="0.25">
      <c r="B1" s="4" t="s">
        <v>0</v>
      </c>
      <c r="C1" s="1"/>
      <c r="D1" s="1"/>
      <c r="E1" s="1"/>
      <c r="F1" s="1"/>
      <c r="G1" s="1"/>
      <c r="H1" s="1"/>
      <c r="I1" s="1"/>
      <c r="J1" s="1"/>
      <c r="K1" s="1"/>
      <c r="L1" s="1"/>
      <c r="M1" s="1"/>
      <c r="N1" s="1"/>
      <c r="O1" s="5" t="s">
        <v>15</v>
      </c>
    </row>
    <row r="2" spans="2:15" ht="79.5" customHeight="1" x14ac:dyDescent="0.25">
      <c r="B2" s="3"/>
      <c r="C2" s="3"/>
      <c r="D2" s="3"/>
      <c r="E2" s="3"/>
      <c r="F2" s="3"/>
      <c r="G2" s="3"/>
      <c r="H2" s="3"/>
      <c r="I2" s="3"/>
      <c r="J2" s="3"/>
      <c r="K2" s="3"/>
      <c r="L2" s="3"/>
      <c r="M2" s="3"/>
      <c r="N2" s="3"/>
      <c r="O2" s="3"/>
    </row>
    <row r="3" spans="2:15" ht="20.100000000000001" customHeight="1" x14ac:dyDescent="0.25"/>
    <row r="4" spans="2:15" ht="20.100000000000001" customHeight="1" x14ac:dyDescent="0.25">
      <c r="B4" s="47" t="s">
        <v>539</v>
      </c>
      <c r="C4" t="s">
        <v>540</v>
      </c>
    </row>
    <row r="5" spans="2:15" ht="20.100000000000001" customHeight="1" x14ac:dyDescent="0.25"/>
    <row r="6" spans="2:15" ht="20.100000000000001" customHeight="1" x14ac:dyDescent="0.25">
      <c r="B6" s="47" t="s">
        <v>544</v>
      </c>
      <c r="C6" s="47" t="s">
        <v>543</v>
      </c>
    </row>
    <row r="7" spans="2:15" ht="20.100000000000001" customHeight="1" x14ac:dyDescent="0.25">
      <c r="B7" s="47" t="s">
        <v>541</v>
      </c>
      <c r="C7">
        <v>1</v>
      </c>
      <c r="D7">
        <v>2</v>
      </c>
      <c r="E7">
        <v>3</v>
      </c>
      <c r="F7">
        <v>4</v>
      </c>
      <c r="G7">
        <v>5</v>
      </c>
      <c r="H7">
        <v>6</v>
      </c>
      <c r="I7">
        <v>7</v>
      </c>
      <c r="J7">
        <v>8</v>
      </c>
      <c r="K7">
        <v>9</v>
      </c>
      <c r="L7">
        <v>10</v>
      </c>
      <c r="M7">
        <v>11</v>
      </c>
      <c r="N7">
        <v>12</v>
      </c>
      <c r="O7" t="s">
        <v>542</v>
      </c>
    </row>
    <row r="8" spans="2:15" ht="20.100000000000001" customHeight="1" x14ac:dyDescent="0.25">
      <c r="B8" s="48" t="s">
        <v>36</v>
      </c>
      <c r="C8" s="50">
        <v>72353</v>
      </c>
      <c r="D8" s="50">
        <v>51906</v>
      </c>
      <c r="E8" s="50">
        <v>55619</v>
      </c>
      <c r="F8" s="50">
        <v>41790</v>
      </c>
      <c r="G8" s="50">
        <v>62092</v>
      </c>
      <c r="H8" s="50">
        <v>41896</v>
      </c>
      <c r="I8" s="50">
        <v>34065</v>
      </c>
      <c r="J8" s="50">
        <v>32710</v>
      </c>
      <c r="K8" s="50">
        <v>42011</v>
      </c>
      <c r="L8" s="50">
        <v>46262</v>
      </c>
      <c r="M8" s="50">
        <v>48607</v>
      </c>
      <c r="N8" s="50">
        <v>55563</v>
      </c>
      <c r="O8" s="50">
        <v>584874</v>
      </c>
    </row>
    <row r="9" spans="2:15" ht="20.100000000000001" customHeight="1" x14ac:dyDescent="0.25">
      <c r="B9" s="49" t="s">
        <v>31</v>
      </c>
      <c r="C9" s="50">
        <v>7953</v>
      </c>
      <c r="D9" s="50">
        <v>4012</v>
      </c>
      <c r="E9" s="50">
        <v>15192</v>
      </c>
      <c r="F9" s="50">
        <v>6213</v>
      </c>
      <c r="G9" s="50">
        <v>6400</v>
      </c>
      <c r="H9" s="50">
        <v>1613</v>
      </c>
      <c r="I9" s="50"/>
      <c r="J9" s="50">
        <v>9987</v>
      </c>
      <c r="K9" s="50">
        <v>5001</v>
      </c>
      <c r="L9" s="50">
        <v>13446</v>
      </c>
      <c r="M9" s="50">
        <v>1542</v>
      </c>
      <c r="N9" s="50">
        <v>16042</v>
      </c>
      <c r="O9" s="50">
        <v>87401</v>
      </c>
    </row>
    <row r="10" spans="2:15" ht="20.100000000000001" customHeight="1" x14ac:dyDescent="0.25">
      <c r="B10" s="49" t="s">
        <v>32</v>
      </c>
      <c r="C10" s="50">
        <v>6054</v>
      </c>
      <c r="D10" s="50">
        <v>15916</v>
      </c>
      <c r="E10" s="50">
        <v>474</v>
      </c>
      <c r="F10" s="50">
        <v>3722</v>
      </c>
      <c r="G10" s="50">
        <v>18195</v>
      </c>
      <c r="H10" s="50">
        <v>10540</v>
      </c>
      <c r="I10" s="50">
        <v>14461</v>
      </c>
      <c r="J10" s="50">
        <v>4383</v>
      </c>
      <c r="K10" s="50">
        <v>3022</v>
      </c>
      <c r="L10" s="50">
        <v>1158</v>
      </c>
      <c r="M10" s="50">
        <v>7204</v>
      </c>
      <c r="N10" s="50">
        <v>5768</v>
      </c>
      <c r="O10" s="50">
        <v>90897</v>
      </c>
    </row>
    <row r="11" spans="2:15" ht="20.100000000000001" customHeight="1" x14ac:dyDescent="0.25">
      <c r="B11" s="49" t="s">
        <v>33</v>
      </c>
      <c r="C11" s="50">
        <v>2247</v>
      </c>
      <c r="D11" s="50">
        <v>10721</v>
      </c>
      <c r="E11" s="50">
        <v>8747</v>
      </c>
      <c r="F11" s="50">
        <v>7574</v>
      </c>
      <c r="G11" s="50"/>
      <c r="H11" s="50"/>
      <c r="I11" s="50">
        <v>1108</v>
      </c>
      <c r="J11" s="50">
        <v>4462</v>
      </c>
      <c r="K11" s="50">
        <v>7143</v>
      </c>
      <c r="L11" s="50">
        <v>14837</v>
      </c>
      <c r="M11" s="50">
        <v>5208</v>
      </c>
      <c r="N11" s="50">
        <v>8248</v>
      </c>
      <c r="O11" s="50">
        <v>70295</v>
      </c>
    </row>
    <row r="12" spans="2:15" ht="20.100000000000001" customHeight="1" x14ac:dyDescent="0.25">
      <c r="B12" s="49" t="s">
        <v>35</v>
      </c>
      <c r="C12" s="50">
        <v>23815</v>
      </c>
      <c r="D12" s="50">
        <v>4148</v>
      </c>
      <c r="E12" s="50">
        <v>9064</v>
      </c>
      <c r="F12" s="50"/>
      <c r="G12" s="50">
        <v>9140</v>
      </c>
      <c r="H12" s="50">
        <v>15271</v>
      </c>
      <c r="I12" s="50">
        <v>7688</v>
      </c>
      <c r="J12" s="50">
        <v>7095</v>
      </c>
      <c r="K12" s="50">
        <v>9665</v>
      </c>
      <c r="L12" s="50">
        <v>1260</v>
      </c>
      <c r="M12" s="50">
        <v>5147</v>
      </c>
      <c r="N12" s="50">
        <v>6405</v>
      </c>
      <c r="O12" s="50">
        <v>98698</v>
      </c>
    </row>
    <row r="13" spans="2:15" ht="20.100000000000001" customHeight="1" x14ac:dyDescent="0.25">
      <c r="B13" s="49" t="s">
        <v>43</v>
      </c>
      <c r="C13" s="50">
        <v>32284</v>
      </c>
      <c r="D13" s="50">
        <v>17109</v>
      </c>
      <c r="E13" s="50">
        <v>22142</v>
      </c>
      <c r="F13" s="50">
        <v>24281</v>
      </c>
      <c r="G13" s="50">
        <v>28357</v>
      </c>
      <c r="H13" s="50">
        <v>14472</v>
      </c>
      <c r="I13" s="50">
        <v>10808</v>
      </c>
      <c r="J13" s="50">
        <v>6783</v>
      </c>
      <c r="K13" s="50">
        <v>17180</v>
      </c>
      <c r="L13" s="50">
        <v>15561</v>
      </c>
      <c r="M13" s="50">
        <v>29506</v>
      </c>
      <c r="N13" s="50">
        <v>19100</v>
      </c>
      <c r="O13" s="50">
        <v>237583</v>
      </c>
    </row>
    <row r="14" spans="2:15" ht="20.100000000000001" customHeight="1" x14ac:dyDescent="0.25">
      <c r="B14" s="48" t="s">
        <v>542</v>
      </c>
      <c r="C14" s="50">
        <v>72353</v>
      </c>
      <c r="D14" s="50">
        <v>51906</v>
      </c>
      <c r="E14" s="50">
        <v>55619</v>
      </c>
      <c r="F14" s="50">
        <v>41790</v>
      </c>
      <c r="G14" s="50">
        <v>62092</v>
      </c>
      <c r="H14" s="50">
        <v>41896</v>
      </c>
      <c r="I14" s="50">
        <v>34065</v>
      </c>
      <c r="J14" s="50">
        <v>32710</v>
      </c>
      <c r="K14" s="50">
        <v>42011</v>
      </c>
      <c r="L14" s="50">
        <v>46262</v>
      </c>
      <c r="M14" s="50">
        <v>48607</v>
      </c>
      <c r="N14" s="50">
        <v>55563</v>
      </c>
      <c r="O14" s="50">
        <v>584874</v>
      </c>
    </row>
    <row r="15" spans="2:15" ht="20.100000000000001" customHeight="1" x14ac:dyDescent="0.25"/>
    <row r="16" spans="2:15" ht="20.100000000000001" customHeight="1" x14ac:dyDescent="0.25"/>
    <row r="17" ht="20.100000000000001" customHeight="1" x14ac:dyDescent="0.2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1D2F-D216-4869-A875-DBC394468AE4}">
  <dimension ref="A1:O17"/>
  <sheetViews>
    <sheetView showGridLines="0" workbookViewId="0">
      <selection activeCell="H8" sqref="H8"/>
    </sheetView>
  </sheetViews>
  <sheetFormatPr defaultColWidth="0" defaultRowHeight="15" x14ac:dyDescent="0.25"/>
  <cols>
    <col min="1" max="1" width="2.7109375" customWidth="1"/>
    <col min="2" max="2" width="30.7109375" customWidth="1"/>
    <col min="3" max="15" width="11.7109375" customWidth="1"/>
    <col min="16" max="16384" width="9.140625" hidden="1"/>
  </cols>
  <sheetData>
    <row r="1" spans="2:15" ht="39.950000000000003" customHeight="1" x14ac:dyDescent="0.25">
      <c r="B1" s="4" t="s">
        <v>0</v>
      </c>
      <c r="C1" s="1"/>
      <c r="D1" s="1"/>
      <c r="E1" s="1"/>
      <c r="F1" s="1"/>
      <c r="G1" s="1"/>
      <c r="H1" s="1"/>
      <c r="I1" s="1"/>
      <c r="J1" s="1"/>
      <c r="K1" s="1"/>
      <c r="L1" s="1"/>
      <c r="M1" s="1"/>
      <c r="N1" s="1"/>
      <c r="O1" s="5" t="s">
        <v>16</v>
      </c>
    </row>
    <row r="2" spans="2:15" ht="80.25" customHeight="1" x14ac:dyDescent="0.25">
      <c r="B2" s="3"/>
      <c r="C2" s="3"/>
      <c r="D2" s="3"/>
      <c r="E2" s="3"/>
      <c r="F2" s="3"/>
      <c r="G2" s="3"/>
      <c r="H2" s="3"/>
      <c r="I2" s="3"/>
      <c r="J2" s="3"/>
      <c r="K2" s="3"/>
      <c r="L2" s="3"/>
      <c r="M2" s="3"/>
      <c r="N2" s="3"/>
      <c r="O2" s="3"/>
    </row>
    <row r="3" spans="2:15" ht="20.100000000000001" customHeight="1" x14ac:dyDescent="0.25"/>
    <row r="4" spans="2:15" ht="20.100000000000001" customHeight="1" x14ac:dyDescent="0.25">
      <c r="B4" s="47" t="s">
        <v>546</v>
      </c>
      <c r="C4" t="s">
        <v>540</v>
      </c>
    </row>
    <row r="5" spans="2:15" ht="20.100000000000001" customHeight="1" x14ac:dyDescent="0.25"/>
    <row r="6" spans="2:15" ht="20.100000000000001" customHeight="1" x14ac:dyDescent="0.25">
      <c r="B6" s="47" t="s">
        <v>544</v>
      </c>
      <c r="C6" s="47" t="s">
        <v>543</v>
      </c>
    </row>
    <row r="7" spans="2:15" ht="20.100000000000001" customHeight="1" x14ac:dyDescent="0.25">
      <c r="C7">
        <v>0</v>
      </c>
      <c r="M7" t="s">
        <v>547</v>
      </c>
    </row>
    <row r="8" spans="2:15" ht="20.100000000000001" customHeight="1" x14ac:dyDescent="0.25">
      <c r="B8" s="47" t="s">
        <v>541</v>
      </c>
      <c r="C8">
        <v>1</v>
      </c>
      <c r="D8">
        <v>2</v>
      </c>
      <c r="E8">
        <v>4</v>
      </c>
      <c r="F8">
        <v>5</v>
      </c>
      <c r="G8">
        <v>6</v>
      </c>
      <c r="H8">
        <v>7</v>
      </c>
      <c r="I8">
        <v>8</v>
      </c>
      <c r="J8">
        <v>9</v>
      </c>
      <c r="K8">
        <v>10</v>
      </c>
      <c r="L8">
        <v>11</v>
      </c>
    </row>
    <row r="9" spans="2:15" ht="20.100000000000001" customHeight="1" x14ac:dyDescent="0.25">
      <c r="B9" s="48" t="s">
        <v>36</v>
      </c>
      <c r="C9" s="50">
        <v>9858</v>
      </c>
      <c r="D9" s="50">
        <v>16815</v>
      </c>
      <c r="E9" s="50">
        <v>3690</v>
      </c>
      <c r="F9" s="50">
        <v>16998</v>
      </c>
      <c r="G9" s="50">
        <v>9407</v>
      </c>
      <c r="H9" s="50">
        <v>6846</v>
      </c>
      <c r="I9" s="50">
        <v>2759</v>
      </c>
      <c r="J9" s="50">
        <v>4657</v>
      </c>
      <c r="K9" s="50">
        <v>4141</v>
      </c>
      <c r="L9" s="50">
        <v>4672</v>
      </c>
      <c r="M9" s="50">
        <v>79843</v>
      </c>
    </row>
    <row r="10" spans="2:15" ht="20.100000000000001" customHeight="1" x14ac:dyDescent="0.25">
      <c r="B10" s="49" t="s">
        <v>31</v>
      </c>
      <c r="C10" s="50"/>
      <c r="D10" s="50">
        <v>3255</v>
      </c>
      <c r="E10" s="50"/>
      <c r="F10" s="50">
        <v>1996</v>
      </c>
      <c r="G10" s="50"/>
      <c r="H10" s="50"/>
      <c r="I10" s="50"/>
      <c r="J10" s="50"/>
      <c r="K10" s="50"/>
      <c r="L10" s="50"/>
      <c r="M10" s="50">
        <v>5251</v>
      </c>
    </row>
    <row r="11" spans="2:15" ht="20.100000000000001" customHeight="1" x14ac:dyDescent="0.25">
      <c r="B11" s="49" t="s">
        <v>32</v>
      </c>
      <c r="C11" s="50">
        <v>3598</v>
      </c>
      <c r="D11" s="50">
        <v>2623</v>
      </c>
      <c r="E11" s="50"/>
      <c r="F11" s="50">
        <v>2975</v>
      </c>
      <c r="G11" s="50"/>
      <c r="H11" s="50">
        <v>3411</v>
      </c>
      <c r="I11" s="50"/>
      <c r="J11" s="50">
        <v>1565</v>
      </c>
      <c r="K11" s="50"/>
      <c r="L11" s="50">
        <v>819</v>
      </c>
      <c r="M11" s="50">
        <v>14991</v>
      </c>
    </row>
    <row r="12" spans="2:15" ht="20.100000000000001" customHeight="1" x14ac:dyDescent="0.25">
      <c r="B12" s="49" t="s">
        <v>33</v>
      </c>
      <c r="C12" s="50">
        <v>2247</v>
      </c>
      <c r="D12" s="50">
        <v>3413</v>
      </c>
      <c r="E12" s="50"/>
      <c r="F12" s="50">
        <v>2707</v>
      </c>
      <c r="G12" s="50"/>
      <c r="H12" s="50"/>
      <c r="I12" s="50"/>
      <c r="J12" s="50">
        <v>159</v>
      </c>
      <c r="K12" s="50">
        <v>1357</v>
      </c>
      <c r="L12" s="50"/>
      <c r="M12" s="50">
        <v>9883</v>
      </c>
    </row>
    <row r="13" spans="2:15" ht="20.100000000000001" customHeight="1" x14ac:dyDescent="0.25">
      <c r="B13" s="49" t="s">
        <v>35</v>
      </c>
      <c r="C13" s="50"/>
      <c r="D13" s="50">
        <v>533</v>
      </c>
      <c r="E13" s="50"/>
      <c r="F13" s="50"/>
      <c r="G13" s="50"/>
      <c r="H13" s="50"/>
      <c r="I13" s="50">
        <v>2759</v>
      </c>
      <c r="J13" s="50"/>
      <c r="K13" s="50"/>
      <c r="L13" s="50"/>
      <c r="M13" s="50">
        <v>3292</v>
      </c>
    </row>
    <row r="14" spans="2:15" ht="20.100000000000001" customHeight="1" x14ac:dyDescent="0.25">
      <c r="B14" s="49" t="s">
        <v>43</v>
      </c>
      <c r="C14" s="50">
        <v>4013</v>
      </c>
      <c r="D14" s="50">
        <v>6991</v>
      </c>
      <c r="E14" s="50">
        <v>3690</v>
      </c>
      <c r="F14" s="50">
        <v>9320</v>
      </c>
      <c r="G14" s="50">
        <v>9407</v>
      </c>
      <c r="H14" s="50">
        <v>3435</v>
      </c>
      <c r="I14" s="50"/>
      <c r="J14" s="50">
        <v>2933</v>
      </c>
      <c r="K14" s="50">
        <v>2784</v>
      </c>
      <c r="L14" s="50">
        <v>3853</v>
      </c>
      <c r="M14" s="50">
        <v>46426</v>
      </c>
    </row>
    <row r="15" spans="2:15" ht="20.100000000000001" customHeight="1" x14ac:dyDescent="0.25">
      <c r="B15" s="48" t="s">
        <v>542</v>
      </c>
      <c r="C15" s="50">
        <v>9858</v>
      </c>
      <c r="D15" s="50">
        <v>16815</v>
      </c>
      <c r="E15" s="50">
        <v>3690</v>
      </c>
      <c r="F15" s="50">
        <v>16998</v>
      </c>
      <c r="G15" s="50">
        <v>9407</v>
      </c>
      <c r="H15" s="50">
        <v>6846</v>
      </c>
      <c r="I15" s="50">
        <v>2759</v>
      </c>
      <c r="J15" s="50">
        <v>4657</v>
      </c>
      <c r="K15" s="50">
        <v>4141</v>
      </c>
      <c r="L15" s="50">
        <v>4672</v>
      </c>
      <c r="M15" s="50">
        <v>79843</v>
      </c>
    </row>
    <row r="16" spans="2:15" ht="20.100000000000001" customHeight="1" x14ac:dyDescent="0.25"/>
    <row r="17" ht="20.100000000000001" customHeight="1" x14ac:dyDescent="0.2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E166-0FE9-4604-AE03-D904C380C9A0}">
  <dimension ref="A1:O17"/>
  <sheetViews>
    <sheetView showGridLines="0" workbookViewId="0">
      <selection activeCell="E18" sqref="E18"/>
    </sheetView>
  </sheetViews>
  <sheetFormatPr defaultColWidth="0" defaultRowHeight="15" x14ac:dyDescent="0.25"/>
  <cols>
    <col min="1" max="1" width="2.7109375" customWidth="1"/>
    <col min="2" max="2" width="30.7109375" customWidth="1"/>
    <col min="3" max="15" width="11.7109375" customWidth="1"/>
    <col min="16" max="16384" width="9.140625" hidden="1"/>
  </cols>
  <sheetData>
    <row r="1" spans="2:15" ht="39.950000000000003" customHeight="1" x14ac:dyDescent="0.25">
      <c r="B1" s="4" t="s">
        <v>0</v>
      </c>
      <c r="C1" s="1"/>
      <c r="D1" s="1"/>
      <c r="E1" s="1"/>
      <c r="F1" s="1"/>
      <c r="G1" s="1"/>
      <c r="H1" s="1"/>
      <c r="I1" s="1"/>
      <c r="J1" s="1"/>
      <c r="K1" s="1"/>
      <c r="L1" s="1"/>
      <c r="M1" s="1"/>
      <c r="N1" s="1"/>
      <c r="O1" s="5" t="s">
        <v>17</v>
      </c>
    </row>
    <row r="2" spans="2:15" ht="80.25" customHeight="1" x14ac:dyDescent="0.25">
      <c r="B2" s="3"/>
      <c r="C2" s="3"/>
      <c r="D2" s="3"/>
      <c r="E2" s="3"/>
      <c r="F2" s="3"/>
      <c r="G2" s="3"/>
      <c r="H2" s="3"/>
      <c r="I2" s="3"/>
      <c r="J2" s="3"/>
      <c r="K2" s="3"/>
      <c r="L2" s="3"/>
      <c r="M2" s="3"/>
      <c r="N2" s="3"/>
      <c r="O2" s="3"/>
    </row>
    <row r="3" spans="2:15" ht="20.100000000000001" customHeight="1" x14ac:dyDescent="0.25"/>
    <row r="4" spans="2:15" ht="20.100000000000001" customHeight="1" x14ac:dyDescent="0.25">
      <c r="B4" s="47" t="s">
        <v>546</v>
      </c>
      <c r="C4" t="s">
        <v>540</v>
      </c>
    </row>
    <row r="5" spans="2:15" ht="20.100000000000001" customHeight="1" x14ac:dyDescent="0.25"/>
    <row r="6" spans="2:15" ht="20.100000000000001" customHeight="1" x14ac:dyDescent="0.25">
      <c r="B6" s="47" t="s">
        <v>544</v>
      </c>
      <c r="C6" s="47" t="s">
        <v>543</v>
      </c>
    </row>
    <row r="7" spans="2:15" ht="20.100000000000001" customHeight="1" x14ac:dyDescent="0.25">
      <c r="C7">
        <v>0</v>
      </c>
      <c r="N7" t="s">
        <v>547</v>
      </c>
    </row>
    <row r="8" spans="2:15" ht="20.100000000000001" customHeight="1" x14ac:dyDescent="0.25">
      <c r="B8" s="47" t="s">
        <v>541</v>
      </c>
      <c r="C8">
        <v>1</v>
      </c>
      <c r="D8">
        <v>2</v>
      </c>
      <c r="E8">
        <v>3</v>
      </c>
      <c r="F8">
        <v>4</v>
      </c>
      <c r="G8">
        <v>5</v>
      </c>
      <c r="H8">
        <v>6</v>
      </c>
      <c r="I8">
        <v>7</v>
      </c>
      <c r="J8">
        <v>9</v>
      </c>
      <c r="K8">
        <v>10</v>
      </c>
      <c r="L8">
        <v>11</v>
      </c>
      <c r="M8">
        <v>12</v>
      </c>
    </row>
    <row r="9" spans="2:15" ht="20.100000000000001" customHeight="1" x14ac:dyDescent="0.25">
      <c r="B9" s="48" t="s">
        <v>24</v>
      </c>
      <c r="C9" s="50">
        <v>6052</v>
      </c>
      <c r="D9" s="50">
        <v>3553</v>
      </c>
      <c r="E9" s="50">
        <v>964</v>
      </c>
      <c r="F9" s="50">
        <v>10772</v>
      </c>
      <c r="G9" s="50">
        <v>6672</v>
      </c>
      <c r="H9" s="50">
        <v>4075</v>
      </c>
      <c r="I9" s="50">
        <v>10162</v>
      </c>
      <c r="J9" s="50">
        <v>2071</v>
      </c>
      <c r="K9" s="50">
        <v>8770</v>
      </c>
      <c r="L9" s="50">
        <v>4870</v>
      </c>
      <c r="M9" s="50">
        <v>4061</v>
      </c>
      <c r="N9" s="50">
        <v>62022</v>
      </c>
    </row>
    <row r="10" spans="2:15" ht="20.100000000000001" customHeight="1" x14ac:dyDescent="0.25">
      <c r="B10" s="49" t="s">
        <v>31</v>
      </c>
      <c r="C10" s="50">
        <v>4843</v>
      </c>
      <c r="D10" s="50"/>
      <c r="E10" s="50"/>
      <c r="F10" s="50"/>
      <c r="G10" s="50"/>
      <c r="H10" s="50"/>
      <c r="I10" s="50">
        <v>4535</v>
      </c>
      <c r="J10" s="50"/>
      <c r="K10" s="50"/>
      <c r="L10" s="50"/>
      <c r="M10" s="50"/>
      <c r="N10" s="50">
        <v>9378</v>
      </c>
    </row>
    <row r="11" spans="2:15" ht="20.100000000000001" customHeight="1" x14ac:dyDescent="0.25">
      <c r="B11" s="49" t="s">
        <v>32</v>
      </c>
      <c r="C11" s="50"/>
      <c r="D11" s="50"/>
      <c r="E11" s="50"/>
      <c r="F11" s="50">
        <v>8795</v>
      </c>
      <c r="G11" s="50"/>
      <c r="H11" s="50"/>
      <c r="I11" s="50"/>
      <c r="J11" s="50"/>
      <c r="K11" s="50"/>
      <c r="L11" s="50"/>
      <c r="M11" s="50"/>
      <c r="N11" s="50">
        <v>8795</v>
      </c>
    </row>
    <row r="12" spans="2:15" ht="20.100000000000001" customHeight="1" x14ac:dyDescent="0.25">
      <c r="B12" s="49" t="s">
        <v>33</v>
      </c>
      <c r="C12" s="50"/>
      <c r="D12" s="50"/>
      <c r="E12" s="50"/>
      <c r="F12" s="50"/>
      <c r="G12" s="50"/>
      <c r="H12" s="50">
        <v>1482</v>
      </c>
      <c r="I12" s="50"/>
      <c r="J12" s="50"/>
      <c r="K12" s="50"/>
      <c r="L12" s="50">
        <v>1445</v>
      </c>
      <c r="M12" s="50"/>
      <c r="N12" s="50">
        <v>2927</v>
      </c>
    </row>
    <row r="13" spans="2:15" ht="20.100000000000001" customHeight="1" x14ac:dyDescent="0.25">
      <c r="B13" s="49" t="s">
        <v>34</v>
      </c>
      <c r="C13" s="50">
        <v>1209</v>
      </c>
      <c r="D13" s="50">
        <v>3553</v>
      </c>
      <c r="E13" s="50"/>
      <c r="F13" s="50"/>
      <c r="G13" s="50">
        <v>2531</v>
      </c>
      <c r="H13" s="50">
        <v>2593</v>
      </c>
      <c r="I13" s="50">
        <v>1369</v>
      </c>
      <c r="J13" s="50">
        <v>2071</v>
      </c>
      <c r="K13" s="50">
        <v>8770</v>
      </c>
      <c r="L13" s="50">
        <v>3425</v>
      </c>
      <c r="M13" s="50"/>
      <c r="N13" s="50">
        <v>25521</v>
      </c>
    </row>
    <row r="14" spans="2:15" ht="20.100000000000001" customHeight="1" x14ac:dyDescent="0.25">
      <c r="B14" s="49" t="s">
        <v>35</v>
      </c>
      <c r="C14" s="50"/>
      <c r="D14" s="50"/>
      <c r="E14" s="50">
        <v>964</v>
      </c>
      <c r="F14" s="50">
        <v>1977</v>
      </c>
      <c r="G14" s="50">
        <v>4141</v>
      </c>
      <c r="H14" s="50"/>
      <c r="I14" s="50">
        <v>4258</v>
      </c>
      <c r="J14" s="50"/>
      <c r="K14" s="50"/>
      <c r="L14" s="50"/>
      <c r="M14" s="50">
        <v>4061</v>
      </c>
      <c r="N14" s="50">
        <v>15401</v>
      </c>
    </row>
    <row r="15" spans="2:15" ht="20.100000000000001" customHeight="1" x14ac:dyDescent="0.25">
      <c r="B15" s="48" t="s">
        <v>542</v>
      </c>
      <c r="C15" s="50">
        <v>6052</v>
      </c>
      <c r="D15" s="50">
        <v>3553</v>
      </c>
      <c r="E15" s="50">
        <v>964</v>
      </c>
      <c r="F15" s="50">
        <v>10772</v>
      </c>
      <c r="G15" s="50">
        <v>6672</v>
      </c>
      <c r="H15" s="50">
        <v>4075</v>
      </c>
      <c r="I15" s="50">
        <v>10162</v>
      </c>
      <c r="J15" s="50">
        <v>2071</v>
      </c>
      <c r="K15" s="50">
        <v>8770</v>
      </c>
      <c r="L15" s="50">
        <v>4870</v>
      </c>
      <c r="M15" s="50">
        <v>4061</v>
      </c>
      <c r="N15" s="50">
        <v>62022</v>
      </c>
    </row>
    <row r="16" spans="2:15" ht="20.100000000000001" customHeight="1" x14ac:dyDescent="0.25"/>
    <row r="17" ht="20.100000000000001" customHeight="1" x14ac:dyDescent="0.2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C28E-7924-4C3F-AC9B-7EFC33F43127}">
  <dimension ref="A1:O17"/>
  <sheetViews>
    <sheetView showGridLines="0" workbookViewId="0">
      <selection activeCell="O2" sqref="O2"/>
    </sheetView>
  </sheetViews>
  <sheetFormatPr defaultColWidth="0" defaultRowHeight="15" x14ac:dyDescent="0.25"/>
  <cols>
    <col min="1" max="1" width="2.7109375" customWidth="1"/>
    <col min="2" max="2" width="30.7109375" customWidth="1"/>
    <col min="3" max="15" width="11.7109375" customWidth="1"/>
    <col min="16" max="16384" width="9.140625" hidden="1"/>
  </cols>
  <sheetData>
    <row r="1" spans="2:15" ht="39.950000000000003" customHeight="1" x14ac:dyDescent="0.25">
      <c r="B1" s="4" t="s">
        <v>0</v>
      </c>
      <c r="C1" s="1"/>
      <c r="D1" s="1"/>
      <c r="E1" s="1"/>
      <c r="F1" s="1"/>
      <c r="G1" s="1"/>
      <c r="H1" s="1"/>
      <c r="I1" s="1"/>
      <c r="J1" s="1"/>
      <c r="K1" s="1"/>
      <c r="L1" s="1"/>
      <c r="M1" s="1"/>
      <c r="N1" s="1"/>
      <c r="O1" s="5" t="s">
        <v>18</v>
      </c>
    </row>
    <row r="2" spans="2:15" ht="60.75" customHeight="1" x14ac:dyDescent="0.25">
      <c r="B2" s="3"/>
      <c r="C2" s="3"/>
      <c r="D2" s="3"/>
      <c r="E2" s="3"/>
      <c r="F2" s="3"/>
      <c r="G2" s="3"/>
      <c r="H2" s="3"/>
      <c r="I2" s="3"/>
      <c r="J2" s="3"/>
      <c r="K2" s="3"/>
      <c r="L2" s="3"/>
      <c r="M2" s="3"/>
      <c r="N2" s="3"/>
      <c r="O2" s="51">
        <f ca="1">TODAY()</f>
        <v>45353</v>
      </c>
    </row>
    <row r="3" spans="2:15" ht="20.100000000000001" customHeight="1" x14ac:dyDescent="0.25"/>
    <row r="4" spans="2:15" ht="20.100000000000001" customHeight="1" x14ac:dyDescent="0.25">
      <c r="B4" s="47" t="s">
        <v>546</v>
      </c>
      <c r="C4" t="s">
        <v>540</v>
      </c>
    </row>
    <row r="5" spans="2:15" ht="20.100000000000001" customHeight="1" x14ac:dyDescent="0.25"/>
    <row r="6" spans="2:15" ht="20.100000000000001" customHeight="1" x14ac:dyDescent="0.25">
      <c r="B6" s="47" t="s">
        <v>544</v>
      </c>
      <c r="C6" s="47" t="s">
        <v>543</v>
      </c>
    </row>
    <row r="7" spans="2:15" ht="20.100000000000001" customHeight="1" x14ac:dyDescent="0.25">
      <c r="C7" t="s">
        <v>549</v>
      </c>
      <c r="N7" t="s">
        <v>550</v>
      </c>
    </row>
    <row r="8" spans="2:15" ht="20.100000000000001" customHeight="1" x14ac:dyDescent="0.25">
      <c r="B8" s="47" t="s">
        <v>541</v>
      </c>
      <c r="C8">
        <v>1</v>
      </c>
      <c r="D8">
        <v>2</v>
      </c>
      <c r="E8">
        <v>3</v>
      </c>
      <c r="F8">
        <v>4</v>
      </c>
      <c r="G8">
        <v>5</v>
      </c>
      <c r="H8">
        <v>6</v>
      </c>
      <c r="I8">
        <v>7</v>
      </c>
      <c r="J8">
        <v>9</v>
      </c>
      <c r="K8">
        <v>10</v>
      </c>
      <c r="L8">
        <v>11</v>
      </c>
      <c r="M8">
        <v>12</v>
      </c>
    </row>
    <row r="9" spans="2:15" ht="20.100000000000001" customHeight="1" x14ac:dyDescent="0.25">
      <c r="B9" s="48" t="s">
        <v>24</v>
      </c>
      <c r="C9" s="50">
        <v>6052</v>
      </c>
      <c r="D9" s="50">
        <v>3553</v>
      </c>
      <c r="E9" s="50">
        <v>964</v>
      </c>
      <c r="F9" s="50">
        <v>10772</v>
      </c>
      <c r="G9" s="50">
        <v>6672</v>
      </c>
      <c r="H9" s="50">
        <v>4075</v>
      </c>
      <c r="I9" s="50">
        <v>10162</v>
      </c>
      <c r="J9" s="50">
        <v>2071</v>
      </c>
      <c r="K9" s="50">
        <v>8770</v>
      </c>
      <c r="L9" s="50">
        <v>4870</v>
      </c>
      <c r="M9" s="50">
        <v>4061</v>
      </c>
      <c r="N9" s="50">
        <v>62022</v>
      </c>
    </row>
    <row r="10" spans="2:15" ht="20.100000000000001" customHeight="1" x14ac:dyDescent="0.25">
      <c r="B10" s="49" t="s">
        <v>31</v>
      </c>
      <c r="C10" s="50">
        <v>4843</v>
      </c>
      <c r="D10" s="50"/>
      <c r="E10" s="50"/>
      <c r="F10" s="50"/>
      <c r="G10" s="50"/>
      <c r="H10" s="50"/>
      <c r="I10" s="50">
        <v>4535</v>
      </c>
      <c r="J10" s="50"/>
      <c r="K10" s="50"/>
      <c r="L10" s="50"/>
      <c r="M10" s="50"/>
      <c r="N10" s="50">
        <v>9378</v>
      </c>
    </row>
    <row r="11" spans="2:15" ht="20.100000000000001" customHeight="1" x14ac:dyDescent="0.25">
      <c r="B11" s="49" t="s">
        <v>32</v>
      </c>
      <c r="C11" s="50"/>
      <c r="D11" s="50"/>
      <c r="E11" s="50"/>
      <c r="F11" s="50">
        <v>8795</v>
      </c>
      <c r="G11" s="50"/>
      <c r="H11" s="50"/>
      <c r="I11" s="50"/>
      <c r="J11" s="50"/>
      <c r="K11" s="50"/>
      <c r="L11" s="50"/>
      <c r="M11" s="50"/>
      <c r="N11" s="50">
        <v>8795</v>
      </c>
    </row>
    <row r="12" spans="2:15" ht="20.100000000000001" customHeight="1" x14ac:dyDescent="0.25">
      <c r="B12" s="49" t="s">
        <v>33</v>
      </c>
      <c r="C12" s="50"/>
      <c r="D12" s="50"/>
      <c r="E12" s="50"/>
      <c r="F12" s="50"/>
      <c r="G12" s="50"/>
      <c r="H12" s="50">
        <v>1482</v>
      </c>
      <c r="I12" s="50"/>
      <c r="J12" s="50"/>
      <c r="K12" s="50"/>
      <c r="L12" s="50">
        <v>1445</v>
      </c>
      <c r="M12" s="50"/>
      <c r="N12" s="50">
        <v>2927</v>
      </c>
    </row>
    <row r="13" spans="2:15" ht="20.100000000000001" customHeight="1" x14ac:dyDescent="0.25">
      <c r="B13" s="49" t="s">
        <v>34</v>
      </c>
      <c r="C13" s="50">
        <v>1209</v>
      </c>
      <c r="D13" s="50">
        <v>3553</v>
      </c>
      <c r="E13" s="50"/>
      <c r="F13" s="50"/>
      <c r="G13" s="50">
        <v>2531</v>
      </c>
      <c r="H13" s="50">
        <v>2593</v>
      </c>
      <c r="I13" s="50">
        <v>1369</v>
      </c>
      <c r="J13" s="50">
        <v>2071</v>
      </c>
      <c r="K13" s="50">
        <v>8770</v>
      </c>
      <c r="L13" s="50">
        <v>3425</v>
      </c>
      <c r="M13" s="50"/>
      <c r="N13" s="50">
        <v>25521</v>
      </c>
    </row>
    <row r="14" spans="2:15" ht="20.100000000000001" customHeight="1" x14ac:dyDescent="0.25">
      <c r="B14" s="49" t="s">
        <v>35</v>
      </c>
      <c r="C14" s="50"/>
      <c r="D14" s="50"/>
      <c r="E14" s="50">
        <v>964</v>
      </c>
      <c r="F14" s="50">
        <v>1977</v>
      </c>
      <c r="G14" s="50">
        <v>4141</v>
      </c>
      <c r="H14" s="50"/>
      <c r="I14" s="50">
        <v>4258</v>
      </c>
      <c r="J14" s="50"/>
      <c r="K14" s="50"/>
      <c r="L14" s="50"/>
      <c r="M14" s="50">
        <v>4061</v>
      </c>
      <c r="N14" s="50">
        <v>15401</v>
      </c>
    </row>
    <row r="15" spans="2:15" ht="20.100000000000001" customHeight="1" x14ac:dyDescent="0.25">
      <c r="B15" s="48" t="s">
        <v>542</v>
      </c>
      <c r="C15" s="50">
        <v>6052</v>
      </c>
      <c r="D15" s="50">
        <v>3553</v>
      </c>
      <c r="E15" s="50">
        <v>964</v>
      </c>
      <c r="F15" s="50">
        <v>10772</v>
      </c>
      <c r="G15" s="50">
        <v>6672</v>
      </c>
      <c r="H15" s="50">
        <v>4075</v>
      </c>
      <c r="I15" s="50">
        <v>10162</v>
      </c>
      <c r="J15" s="50">
        <v>2071</v>
      </c>
      <c r="K15" s="50">
        <v>8770</v>
      </c>
      <c r="L15" s="50">
        <v>4870</v>
      </c>
      <c r="M15" s="50">
        <v>4061</v>
      </c>
      <c r="N15" s="50">
        <v>62022</v>
      </c>
    </row>
    <row r="16" spans="2:15" ht="20.100000000000001" customHeight="1" x14ac:dyDescent="0.25"/>
    <row r="17" ht="20.100000000000001" customHeight="1" x14ac:dyDescent="0.2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2E40D-A557-414A-AE22-62D6DA9CF301}">
  <dimension ref="A1:O21"/>
  <sheetViews>
    <sheetView showGridLines="0" workbookViewId="0">
      <selection activeCell="K4" sqref="K4"/>
    </sheetView>
  </sheetViews>
  <sheetFormatPr defaultColWidth="0" defaultRowHeight="15" x14ac:dyDescent="0.25"/>
  <cols>
    <col min="1" max="1" width="2.7109375" customWidth="1"/>
    <col min="2" max="2" width="40.7109375" customWidth="1"/>
    <col min="3" max="3" width="3.42578125" customWidth="1"/>
    <col min="4" max="4" width="38.85546875" customWidth="1"/>
    <col min="5" max="5" width="3.42578125" customWidth="1"/>
    <col min="6" max="6" width="12.85546875" customWidth="1"/>
    <col min="7" max="7" width="12" customWidth="1"/>
    <col min="8" max="8" width="4.42578125" customWidth="1"/>
    <col min="9" max="9" width="28.5703125" customWidth="1"/>
    <col min="10" max="10" width="3.7109375" customWidth="1"/>
    <col min="11" max="11" width="30.7109375" customWidth="1"/>
    <col min="12" max="12" width="3.5703125" customWidth="1"/>
    <col min="13" max="15" width="0" hidden="1" customWidth="1"/>
    <col min="16" max="16384" width="9.140625" hidden="1"/>
  </cols>
  <sheetData>
    <row r="1" spans="2:11" ht="39.950000000000003" customHeight="1" x14ac:dyDescent="0.25">
      <c r="B1" s="4" t="s">
        <v>0</v>
      </c>
      <c r="C1" s="1"/>
      <c r="D1" s="1"/>
      <c r="E1" s="1"/>
      <c r="F1" s="1"/>
      <c r="G1" s="1"/>
      <c r="H1" s="1"/>
      <c r="I1" s="1"/>
      <c r="J1" s="1"/>
      <c r="K1" s="5" t="s">
        <v>551</v>
      </c>
    </row>
    <row r="2" spans="2:11" ht="39.950000000000003" customHeight="1" x14ac:dyDescent="0.25">
      <c r="B2" s="3"/>
      <c r="C2" s="3"/>
      <c r="D2" s="3"/>
      <c r="E2" s="3"/>
      <c r="F2" s="3"/>
      <c r="G2" s="3"/>
      <c r="H2" s="3"/>
      <c r="I2" s="3"/>
      <c r="J2" s="3"/>
      <c r="K2" s="124">
        <v>43585</v>
      </c>
    </row>
    <row r="3" spans="2:11" ht="20.100000000000001" customHeight="1" x14ac:dyDescent="0.25"/>
    <row r="4" spans="2:11" ht="20.100000000000001" customHeight="1" x14ac:dyDescent="0.25">
      <c r="B4" s="59" t="s">
        <v>552</v>
      </c>
      <c r="C4" s="60"/>
      <c r="D4" s="59" t="s">
        <v>553</v>
      </c>
      <c r="F4" s="57"/>
      <c r="G4" s="58"/>
      <c r="H4" s="58"/>
      <c r="I4" s="81" t="s">
        <v>561</v>
      </c>
      <c r="J4" s="58"/>
      <c r="K4" s="132" t="s">
        <v>34</v>
      </c>
    </row>
    <row r="5" spans="2:11" ht="20.100000000000001" customHeight="1" x14ac:dyDescent="0.25">
      <c r="B5" s="115">
        <f>DashBoardFinanceiroAtualD!C11</f>
        <v>39267</v>
      </c>
      <c r="C5" s="60"/>
      <c r="D5" s="118" t="s">
        <v>604</v>
      </c>
      <c r="F5" s="52"/>
      <c r="K5" s="53"/>
    </row>
    <row r="6" spans="2:11" ht="9.75" customHeight="1" x14ac:dyDescent="0.25">
      <c r="B6" s="60"/>
      <c r="C6" s="60"/>
      <c r="D6" s="60"/>
      <c r="F6" s="52"/>
      <c r="K6" s="53"/>
    </row>
    <row r="7" spans="2:11" ht="20.100000000000001" customHeight="1" x14ac:dyDescent="0.25">
      <c r="B7" s="59" t="s">
        <v>602</v>
      </c>
      <c r="C7" s="60"/>
      <c r="D7" s="138"/>
      <c r="F7" s="52"/>
      <c r="K7" s="64" t="s">
        <v>593</v>
      </c>
    </row>
    <row r="8" spans="2:11" ht="20.100000000000001" customHeight="1" x14ac:dyDescent="0.25">
      <c r="B8" s="116">
        <f>DashBoardFinanceiroAtualD!D13</f>
        <v>14256</v>
      </c>
      <c r="C8" s="60"/>
      <c r="D8" s="139"/>
      <c r="F8" s="52"/>
      <c r="K8" s="119">
        <f>SUM(DashBoardFinanceiroAtualD!J5:J16)</f>
        <v>35355</v>
      </c>
    </row>
    <row r="9" spans="2:11" ht="9.75" customHeight="1" x14ac:dyDescent="0.25">
      <c r="B9" s="60"/>
      <c r="C9" s="60"/>
      <c r="D9" s="60"/>
      <c r="F9" s="52"/>
      <c r="K9" s="53"/>
    </row>
    <row r="10" spans="2:11" ht="20.100000000000001" customHeight="1" x14ac:dyDescent="0.25">
      <c r="B10" s="59" t="s">
        <v>603</v>
      </c>
      <c r="C10" s="60"/>
      <c r="D10" s="138"/>
      <c r="F10" s="52"/>
      <c r="K10" s="53"/>
    </row>
    <row r="11" spans="2:11" ht="20.100000000000001" customHeight="1" x14ac:dyDescent="0.25">
      <c r="B11" s="117">
        <f>DashBoardFinanceiroAtualD!D14</f>
        <v>7998</v>
      </c>
      <c r="C11" s="60"/>
      <c r="D11" s="139"/>
      <c r="F11" s="54"/>
      <c r="G11" s="55"/>
      <c r="H11" s="55"/>
      <c r="I11" s="55"/>
      <c r="J11" s="55"/>
      <c r="K11" s="56"/>
    </row>
    <row r="12" spans="2:11" ht="12" customHeight="1" x14ac:dyDescent="0.25"/>
    <row r="13" spans="2:11" ht="20.100000000000001" customHeight="1" x14ac:dyDescent="0.25">
      <c r="B13" s="140" t="s">
        <v>554</v>
      </c>
      <c r="C13" s="141"/>
      <c r="D13" s="142"/>
      <c r="E13" s="60"/>
      <c r="F13" s="140" t="s">
        <v>555</v>
      </c>
      <c r="G13" s="142"/>
      <c r="H13" s="60"/>
      <c r="I13" s="59" t="s">
        <v>559</v>
      </c>
      <c r="J13" s="60"/>
      <c r="K13" s="59" t="s">
        <v>560</v>
      </c>
    </row>
    <row r="14" spans="2:11" ht="20.100000000000001" customHeight="1" x14ac:dyDescent="0.25">
      <c r="B14" s="61"/>
      <c r="C14" s="60"/>
      <c r="D14" s="62"/>
      <c r="E14" s="60"/>
      <c r="F14" s="63" t="s">
        <v>556</v>
      </c>
      <c r="G14" s="64" t="s">
        <v>557</v>
      </c>
      <c r="H14" s="60"/>
      <c r="I14" s="65">
        <f>DashBoardFinanceiroAtualD!E31</f>
        <v>-19319</v>
      </c>
      <c r="J14" s="60"/>
      <c r="K14" s="122" t="s">
        <v>43</v>
      </c>
    </row>
    <row r="15" spans="2:11" ht="20.100000000000001" customHeight="1" x14ac:dyDescent="0.25">
      <c r="B15" s="61"/>
      <c r="C15" s="60"/>
      <c r="D15" s="62"/>
      <c r="E15" s="60"/>
      <c r="F15" s="66"/>
      <c r="G15" s="67"/>
      <c r="H15" s="60"/>
      <c r="I15" s="68"/>
      <c r="J15" s="60"/>
      <c r="K15" s="123">
        <f>DashBoardFinanceiroAtualD!H43</f>
        <v>49592</v>
      </c>
    </row>
    <row r="16" spans="2:11" ht="20.100000000000001" customHeight="1" x14ac:dyDescent="0.25">
      <c r="B16" s="69">
        <f>DashBoardFinanceiroAtualD!E21</f>
        <v>96192</v>
      </c>
      <c r="C16" s="60"/>
      <c r="D16" s="62"/>
      <c r="E16" s="60"/>
      <c r="F16" s="70">
        <f ca="1">DashBoardFinanceiroAtualD!E26</f>
        <v>742.8</v>
      </c>
      <c r="G16" s="71">
        <f ca="1">DashBoardFinanceiroAtualD!J26</f>
        <v>1097.3816273324023</v>
      </c>
      <c r="H16" s="60"/>
      <c r="I16" s="68"/>
      <c r="J16" s="60"/>
      <c r="K16" s="68"/>
    </row>
    <row r="17" spans="2:11" ht="20.100000000000001" customHeight="1" x14ac:dyDescent="0.25">
      <c r="B17" s="61"/>
      <c r="C17" s="60"/>
      <c r="D17" s="62"/>
      <c r="E17" s="60"/>
      <c r="F17" s="72"/>
      <c r="G17" s="67"/>
      <c r="H17" s="60"/>
      <c r="I17" s="68"/>
      <c r="J17" s="60"/>
      <c r="K17" s="68"/>
    </row>
    <row r="18" spans="2:11" ht="18.75" x14ac:dyDescent="0.25">
      <c r="B18" s="61"/>
      <c r="C18" s="60"/>
      <c r="D18" s="62"/>
      <c r="E18" s="60"/>
      <c r="F18" s="73" t="s">
        <v>558</v>
      </c>
      <c r="G18" s="74" t="s">
        <v>558</v>
      </c>
      <c r="H18" s="60"/>
      <c r="I18" s="68"/>
      <c r="J18" s="60"/>
      <c r="K18" s="68"/>
    </row>
    <row r="19" spans="2:11" ht="18.75" x14ac:dyDescent="0.25">
      <c r="B19" s="75"/>
      <c r="C19" s="76"/>
      <c r="D19" s="77"/>
      <c r="E19" s="60"/>
      <c r="F19" s="78"/>
      <c r="G19" s="79"/>
      <c r="H19" s="60"/>
      <c r="I19" s="80"/>
      <c r="J19" s="60"/>
      <c r="K19" s="80"/>
    </row>
    <row r="21" spans="2:11" x14ac:dyDescent="0.25">
      <c r="B21" s="3"/>
      <c r="C21" s="3"/>
      <c r="D21" s="3"/>
      <c r="E21" s="3"/>
      <c r="F21" s="3"/>
      <c r="G21" s="3"/>
      <c r="H21" s="3"/>
      <c r="I21" s="3"/>
      <c r="J21" s="3"/>
      <c r="K21" s="3"/>
    </row>
  </sheetData>
  <sheetProtection sheet="1" objects="1" scenarios="1" selectLockedCells="1"/>
  <mergeCells count="4">
    <mergeCell ref="D7:D8"/>
    <mergeCell ref="D10:D11"/>
    <mergeCell ref="B13:D13"/>
    <mergeCell ref="F13:G13"/>
  </mergeCells>
  <conditionalFormatting sqref="I14">
    <cfRule type="cellIs" dxfId="3" priority="1" operator="lessThan">
      <formula>0</formula>
    </cfRule>
  </conditionalFormatting>
  <dataValidations count="2">
    <dataValidation type="list" allowBlank="1" showInputMessage="1" showErrorMessage="1" sqref="K4" xr:uid="{16F3E401-7082-48ED-AA10-6B09F11A8B13}">
      <formula1>PCEntradasN2_Nível_2</formula1>
    </dataValidation>
    <dataValidation type="list" allowBlank="1" showInputMessage="1" showErrorMessage="1" errorTitle="Conta Inexistente!" error="Selecione uma conta da lista." sqref="K14" xr:uid="{86AC084E-49A9-44EE-8D80-9A0833E40F31}">
      <formula1>PCSaídasN2_Nível_2</formula1>
    </dataValidation>
  </dataValidation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B909F04C-2B88-4A69-9521-5B90CF10F823}">
          <x14:colorSeries rgb="FFFF0000"/>
          <x14:colorNegative rgb="FFD00000"/>
          <x14:colorAxis rgb="FF000000"/>
          <x14:colorMarkers rgb="FFD00000"/>
          <x14:colorFirst rgb="FFD00000"/>
          <x14:colorLast rgb="FFD00000"/>
          <x14:colorHigh rgb="FFD00000"/>
          <x14:colorLow rgb="FFD00000"/>
          <x14:sparklines>
            <x14:sparkline>
              <xm:f>DashBoardFinanceiroAtualD!G5:G16</xm:f>
              <xm:sqref>D7</xm:sqref>
            </x14:sparkline>
          </x14:sparklines>
        </x14:sparklineGroup>
        <x14:sparklineGroup type="column" displayEmptyCellsAs="gap" xr2:uid="{A5519CB0-D44E-4D66-AE2C-5A938302E686}">
          <x14:colorSeries rgb="FF92D050"/>
          <x14:colorNegative rgb="FFD00000"/>
          <x14:colorAxis rgb="FF000000"/>
          <x14:colorMarkers rgb="FFD00000"/>
          <x14:colorFirst rgb="FFD00000"/>
          <x14:colorLast rgb="FFD00000"/>
          <x14:colorHigh rgb="FFD00000"/>
          <x14:colorLow rgb="FFD00000"/>
          <x14:sparklines>
            <x14:sparkline>
              <xm:f>DashBoardFinanceiroAtualD!H5:H16</xm:f>
              <xm:sqref>D10</xm:sqref>
            </x14:sparkline>
          </x14:sparklines>
        </x14:sparklineGroup>
      </x14:sparklineGroup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03B33-4FF1-4A01-AF86-F6EE077BC973}">
  <dimension ref="A1:L45"/>
  <sheetViews>
    <sheetView topLeftCell="A25" workbookViewId="0">
      <selection activeCell="H13" sqref="H13"/>
    </sheetView>
  </sheetViews>
  <sheetFormatPr defaultRowHeight="15" x14ac:dyDescent="0.25"/>
  <cols>
    <col min="1" max="1" width="3.85546875" customWidth="1"/>
    <col min="2" max="2" width="13.28515625" customWidth="1"/>
    <col min="3" max="3" width="13.7109375" customWidth="1"/>
    <col min="4" max="5" width="13.28515625" customWidth="1"/>
    <col min="7" max="7" width="15.85546875" customWidth="1"/>
    <col min="8" max="8" width="18" customWidth="1"/>
    <col min="10" max="10" width="20.85546875" bestFit="1" customWidth="1"/>
    <col min="11" max="11" width="13.85546875" customWidth="1"/>
  </cols>
  <sheetData>
    <row r="1" spans="1:12" x14ac:dyDescent="0.25">
      <c r="A1" s="82"/>
      <c r="B1" s="83" t="s">
        <v>562</v>
      </c>
      <c r="C1" s="83"/>
      <c r="D1" s="83"/>
      <c r="E1" s="83"/>
      <c r="F1" s="83"/>
      <c r="G1" s="83"/>
      <c r="H1" s="83"/>
      <c r="I1" s="83"/>
      <c r="J1" s="83"/>
      <c r="K1" s="83"/>
      <c r="L1" s="83"/>
    </row>
    <row r="2" spans="1:12" x14ac:dyDescent="0.25">
      <c r="A2" s="82"/>
      <c r="B2" s="82"/>
      <c r="C2" s="82"/>
      <c r="D2" s="82"/>
      <c r="E2" s="82"/>
      <c r="F2" s="82"/>
      <c r="G2" s="82"/>
      <c r="H2" s="82"/>
      <c r="I2" s="82"/>
      <c r="J2" s="82"/>
      <c r="K2" s="82"/>
      <c r="L2" s="82"/>
    </row>
    <row r="3" spans="1:12" x14ac:dyDescent="0.25">
      <c r="A3" s="82"/>
      <c r="B3" s="82"/>
      <c r="C3" s="82"/>
      <c r="D3" s="82"/>
      <c r="E3" s="82"/>
      <c r="F3" s="84" t="s">
        <v>563</v>
      </c>
      <c r="G3" s="82"/>
      <c r="H3" s="82"/>
      <c r="I3" s="82"/>
      <c r="J3" s="84" t="s">
        <v>564</v>
      </c>
      <c r="K3" s="85" t="s">
        <v>565</v>
      </c>
      <c r="L3" s="86">
        <f>C4</f>
        <v>2019</v>
      </c>
    </row>
    <row r="4" spans="1:12" x14ac:dyDescent="0.25">
      <c r="A4" s="82"/>
      <c r="B4" s="85" t="s">
        <v>566</v>
      </c>
      <c r="C4" s="87">
        <f>YEAR(DashBoardFinanceiroAtual!K2)</f>
        <v>2019</v>
      </c>
      <c r="D4" s="82"/>
      <c r="E4" s="82"/>
      <c r="F4" s="88" t="s">
        <v>567</v>
      </c>
      <c r="G4" s="89" t="s">
        <v>568</v>
      </c>
      <c r="H4" s="88" t="s">
        <v>569</v>
      </c>
      <c r="I4" s="82"/>
      <c r="J4" s="90" t="str">
        <f>DashBoardFinanceiroAtual!K4</f>
        <v>Móveis</v>
      </c>
      <c r="K4" s="88" t="s">
        <v>570</v>
      </c>
      <c r="L4" s="88" t="s">
        <v>567</v>
      </c>
    </row>
    <row r="5" spans="1:12" x14ac:dyDescent="0.25">
      <c r="A5" s="82"/>
      <c r="B5" s="85" t="s">
        <v>607</v>
      </c>
      <c r="C5" s="125">
        <f>DashBoardFinanceiroAtual!K2</f>
        <v>43585</v>
      </c>
      <c r="D5" s="82"/>
      <c r="E5" s="82"/>
      <c r="F5" s="91">
        <v>1</v>
      </c>
      <c r="G5" s="92">
        <f>SUMIFS(TbRegistroSaídas[Valor],TbRegistroSaídas[Data do Caixa Realizado],"",TbRegistroSaídas[Ano Previsto],$C$4,TbRegistroSaídas[Mês Previsto],F5,TbRegistroSaídas[Data do Caixa Previsto],"&lt;="&amp;$C$5)</f>
        <v>3042</v>
      </c>
      <c r="H5" s="92">
        <f>SUMIFS(TbRegistroEntradas[Valor],TbRegistroEntradas[Data do Caixa Realizado],"",TbRegistroEntradas[Ano Previsto],$C$4,TbRegistroEntradas[Mês Previsto],F5,TbRegistroEntradas[Data do Caixa Previsto],"&lt;="&amp;$C$5)</f>
        <v>1209</v>
      </c>
      <c r="I5" s="82"/>
      <c r="J5" s="92">
        <f>SUMIFS(TbRegistroEntradas[Valor],TbRegistroEntradas[Conta Nível 2],$J$4,TbRegistroEntradas[Ano Competência],$L$3,TbRegistroEntradas[Mês Competência],F5,TbRegistroEntradas[Data da Competência],"&lt;="&amp;$C$5)</f>
        <v>8581</v>
      </c>
      <c r="K5" s="92">
        <f>IF(J5=0,NA(),J5)</f>
        <v>8581</v>
      </c>
      <c r="L5" s="93" t="s">
        <v>571</v>
      </c>
    </row>
    <row r="6" spans="1:12" x14ac:dyDescent="0.25">
      <c r="A6" s="82"/>
      <c r="B6" s="82"/>
      <c r="C6" s="82"/>
      <c r="D6" s="82"/>
      <c r="E6" s="82"/>
      <c r="F6" s="82">
        <v>2</v>
      </c>
      <c r="G6" s="94">
        <f>SUMIFS(TbRegistroSaídas[Valor],TbRegistroSaídas[Data do Caixa Realizado],"",TbRegistroSaídas[Ano Previsto],$C$4,TbRegistroSaídas[Mês Previsto],F6,TbRegistroSaídas[Data do Caixa Previsto],"&lt;="&amp;$C$5)</f>
        <v>7524</v>
      </c>
      <c r="H6" s="94">
        <f>SUMIFS(TbRegistroEntradas[Valor],TbRegistroEntradas[Data do Caixa Realizado],"",TbRegistroEntradas[Ano Previsto],$C$4,TbRegistroEntradas[Mês Previsto],F6,TbRegistroEntradas[Data do Caixa Previsto],"&lt;="&amp;$C$5)</f>
        <v>1992</v>
      </c>
      <c r="I6" s="82"/>
      <c r="J6" s="94">
        <f>SUMIFS(TbRegistroEntradas[Valor],TbRegistroEntradas[Conta Nível 2],$J$4,TbRegistroEntradas[Ano Competência],$L$3,TbRegistroEntradas[Mês Competência],F6,TbRegistroEntradas[Data da Competência],"&lt;="&amp;$C$5)</f>
        <v>12958</v>
      </c>
      <c r="K6" s="94">
        <f t="shared" ref="K6:K16" si="0">IF(J6=0,NA(),J6)</f>
        <v>12958</v>
      </c>
      <c r="L6" s="85" t="s">
        <v>572</v>
      </c>
    </row>
    <row r="7" spans="1:12" x14ac:dyDescent="0.25">
      <c r="A7" s="82"/>
      <c r="B7" s="84" t="s">
        <v>573</v>
      </c>
      <c r="C7" s="82"/>
      <c r="D7" s="82"/>
      <c r="E7" s="82"/>
      <c r="F7" s="82">
        <v>3</v>
      </c>
      <c r="G7" s="94">
        <f>SUMIFS(TbRegistroSaídas[Valor],TbRegistroSaídas[Data do Caixa Realizado],"",TbRegistroSaídas[Ano Previsto],$C$4,TbRegistroSaídas[Mês Previsto],F7,TbRegistroSaídas[Data do Caixa Previsto],"&lt;="&amp;$C$5)</f>
        <v>0</v>
      </c>
      <c r="H7" s="94">
        <f>SUMIFS(TbRegistroEntradas[Valor],TbRegistroEntradas[Data do Caixa Realizado],"",TbRegistroEntradas[Ano Previsto],$C$4,TbRegistroEntradas[Mês Previsto],F7,TbRegistroEntradas[Data do Caixa Previsto],"&lt;="&amp;$C$5)</f>
        <v>0</v>
      </c>
      <c r="I7" s="82"/>
      <c r="J7" s="94">
        <f>SUMIFS(TbRegistroEntradas[Valor],TbRegistroEntradas[Conta Nível 2],$J$4,TbRegistroEntradas[Ano Competência],$L$3,TbRegistroEntradas[Mês Competência],F7,TbRegistroEntradas[Data da Competência],"&lt;="&amp;$C$5)</f>
        <v>3172</v>
      </c>
      <c r="K7" s="94">
        <f t="shared" si="0"/>
        <v>3172</v>
      </c>
      <c r="L7" s="85" t="s">
        <v>574</v>
      </c>
    </row>
    <row r="8" spans="1:12" x14ac:dyDescent="0.25">
      <c r="A8" s="82"/>
      <c r="B8" s="91" t="s">
        <v>601</v>
      </c>
      <c r="C8" s="95">
        <f>SUMIFS(TbRegistroEntradas[Valor],TbRegistroEntradas[Ano Caixa],"&lt;"&amp;C4,TbRegistroEntradas[Ano Caixa],"&lt;&gt;0")-SUMIFS(TbRegistroSaídas[Valor],TbRegistroSaídas[Ano Caixa],"&lt;"&amp;C4,TbRegistroSaídas[Ano Caixa],"&lt;&gt;0")</f>
        <v>55108</v>
      </c>
      <c r="D8" s="82"/>
      <c r="E8" s="82"/>
      <c r="F8" s="82">
        <v>4</v>
      </c>
      <c r="G8" s="94">
        <f>SUMIFS(TbRegistroSaídas[Valor],TbRegistroSaídas[Data do Caixa Realizado],"",TbRegistroSaídas[Ano Previsto],$C$4,TbRegistroSaídas[Mês Previsto],F8,TbRegistroSaídas[Data do Caixa Previsto],"&lt;="&amp;$C$5)</f>
        <v>3690</v>
      </c>
      <c r="H8" s="94">
        <f>SUMIFS(TbRegistroEntradas[Valor],TbRegistroEntradas[Data do Caixa Realizado],"",TbRegistroEntradas[Ano Previsto],$C$4,TbRegistroEntradas[Mês Previsto],F8,TbRegistroEntradas[Data do Caixa Previsto],"&lt;="&amp;$C$5)</f>
        <v>4797</v>
      </c>
      <c r="I8" s="82"/>
      <c r="J8" s="94">
        <f>SUMIFS(TbRegistroEntradas[Valor],TbRegistroEntradas[Conta Nível 2],$J$4,TbRegistroEntradas[Ano Competência],$L$3,TbRegistroEntradas[Mês Competência],F8,TbRegistroEntradas[Data da Competência],"&lt;="&amp;$C$5)</f>
        <v>10644</v>
      </c>
      <c r="K8" s="94">
        <f t="shared" si="0"/>
        <v>10644</v>
      </c>
      <c r="L8" s="85" t="s">
        <v>576</v>
      </c>
    </row>
    <row r="9" spans="1:12" x14ac:dyDescent="0.25">
      <c r="A9" s="82"/>
      <c r="B9" s="82" t="s">
        <v>575</v>
      </c>
      <c r="C9" s="96">
        <f>SUMIFS(TbRegistroEntradas[Valor],TbRegistroEntradas[Ano Caixa],"="&amp;C4,TbRegistroEntradas[Data do Caixa Realizado],"&lt;="&amp;C5)</f>
        <v>90998</v>
      </c>
      <c r="D9" s="82"/>
      <c r="E9" s="82"/>
      <c r="F9" s="82">
        <v>5</v>
      </c>
      <c r="G9" s="94">
        <f>SUMIFS(TbRegistroSaídas[Valor],TbRegistroSaídas[Data do Caixa Realizado],"",TbRegistroSaídas[Ano Previsto],$C$4,TbRegistroSaídas[Mês Previsto],F9,TbRegistroSaídas[Data do Caixa Previsto],"&lt;="&amp;$C$5)</f>
        <v>0</v>
      </c>
      <c r="H9" s="94">
        <f>SUMIFS(TbRegistroEntradas[Valor],TbRegistroEntradas[Data do Caixa Realizado],"",TbRegistroEntradas[Ano Previsto],$C$4,TbRegistroEntradas[Mês Previsto],F9,TbRegistroEntradas[Data do Caixa Previsto],"&lt;="&amp;$C$5)</f>
        <v>0</v>
      </c>
      <c r="I9" s="82"/>
      <c r="J9" s="94">
        <f>SUMIFS(TbRegistroEntradas[Valor],TbRegistroEntradas[Conta Nível 2],$J$4,TbRegistroEntradas[Ano Competência],$L$3,TbRegistroEntradas[Mês Competência],F9,TbRegistroEntradas[Data da Competência],"&lt;="&amp;$C$5)</f>
        <v>0</v>
      </c>
      <c r="K9" s="94" t="e">
        <f t="shared" si="0"/>
        <v>#N/A</v>
      </c>
      <c r="L9" s="85" t="s">
        <v>578</v>
      </c>
    </row>
    <row r="10" spans="1:12" x14ac:dyDescent="0.25">
      <c r="A10" s="82"/>
      <c r="B10" s="82" t="s">
        <v>577</v>
      </c>
      <c r="C10" s="96">
        <f>SUMIFS(TbRegistroSaídas[Valor],TbRegistroSaídas[Ano Caixa],"="&amp;C4,TbRegistroSaídas[Data do Caixa Realizado],"&lt;="&amp;C5)</f>
        <v>106839</v>
      </c>
      <c r="D10" s="82"/>
      <c r="E10" s="82"/>
      <c r="F10" s="82">
        <v>6</v>
      </c>
      <c r="G10" s="94">
        <f>SUMIFS(TbRegistroSaídas[Valor],TbRegistroSaídas[Data do Caixa Realizado],"",TbRegistroSaídas[Ano Previsto],$C$4,TbRegistroSaídas[Mês Previsto],F10,TbRegistroSaídas[Data do Caixa Previsto],"&lt;="&amp;$C$5)</f>
        <v>0</v>
      </c>
      <c r="H10" s="94">
        <f>SUMIFS(TbRegistroEntradas[Valor],TbRegistroEntradas[Data do Caixa Realizado],"",TbRegistroEntradas[Ano Previsto],$C$4,TbRegistroEntradas[Mês Previsto],F10,TbRegistroEntradas[Data do Caixa Previsto],"&lt;="&amp;$C$5)</f>
        <v>0</v>
      </c>
      <c r="I10" s="82"/>
      <c r="J10" s="94">
        <f>SUMIFS(TbRegistroEntradas[Valor],TbRegistroEntradas[Conta Nível 2],$J$4,TbRegistroEntradas[Ano Competência],$L$3,TbRegistroEntradas[Mês Competência],F10,TbRegistroEntradas[Data da Competência],"&lt;="&amp;$C$5)</f>
        <v>0</v>
      </c>
      <c r="K10" s="94" t="e">
        <f t="shared" si="0"/>
        <v>#N/A</v>
      </c>
      <c r="L10" s="85" t="s">
        <v>580</v>
      </c>
    </row>
    <row r="11" spans="1:12" x14ac:dyDescent="0.25">
      <c r="A11" s="82"/>
      <c r="B11" s="97" t="s">
        <v>579</v>
      </c>
      <c r="C11" s="98">
        <f>C9+C8-C10</f>
        <v>39267</v>
      </c>
      <c r="D11" s="82"/>
      <c r="E11" s="82"/>
      <c r="F11" s="82">
        <v>7</v>
      </c>
      <c r="G11" s="94">
        <f>SUMIFS(TbRegistroSaídas[Valor],TbRegistroSaídas[Data do Caixa Realizado],"",TbRegistroSaídas[Ano Previsto],$C$4,TbRegistroSaídas[Mês Previsto],F11,TbRegistroSaídas[Data do Caixa Previsto],"&lt;="&amp;$C$5)</f>
        <v>0</v>
      </c>
      <c r="H11" s="94">
        <f>SUMIFS(TbRegistroEntradas[Valor],TbRegistroEntradas[Data do Caixa Realizado],"",TbRegistroEntradas[Ano Previsto],$C$4,TbRegistroEntradas[Mês Previsto],F11,TbRegistroEntradas[Data do Caixa Previsto],"&lt;="&amp;$C$5)</f>
        <v>0</v>
      </c>
      <c r="I11" s="82"/>
      <c r="J11" s="94">
        <f>SUMIFS(TbRegistroEntradas[Valor],TbRegistroEntradas[Conta Nível 2],$J$4,TbRegistroEntradas[Ano Competência],$L$3,TbRegistroEntradas[Mês Competência],F11,TbRegistroEntradas[Data da Competência],"&lt;="&amp;$C$5)</f>
        <v>0</v>
      </c>
      <c r="K11" s="94" t="e">
        <f t="shared" si="0"/>
        <v>#N/A</v>
      </c>
      <c r="L11" s="85" t="s">
        <v>581</v>
      </c>
    </row>
    <row r="12" spans="1:12" x14ac:dyDescent="0.25">
      <c r="A12" s="82"/>
      <c r="B12" s="82"/>
      <c r="C12" s="82"/>
      <c r="D12" s="82"/>
      <c r="E12" s="82"/>
      <c r="F12" s="82">
        <v>8</v>
      </c>
      <c r="G12" s="94">
        <f>SUMIFS(TbRegistroSaídas[Valor],TbRegistroSaídas[Data do Caixa Realizado],"",TbRegistroSaídas[Ano Previsto],$C$4,TbRegistroSaídas[Mês Previsto],F12,TbRegistroSaídas[Data do Caixa Previsto],"&lt;="&amp;$C$5)</f>
        <v>0</v>
      </c>
      <c r="H12" s="94">
        <f>SUMIFS(TbRegistroEntradas[Valor],TbRegistroEntradas[Data do Caixa Realizado],"",TbRegistroEntradas[Ano Previsto],$C$4,TbRegistroEntradas[Mês Previsto],F12,TbRegistroEntradas[Data do Caixa Previsto],"&lt;="&amp;$C$5)</f>
        <v>0</v>
      </c>
      <c r="I12" s="82"/>
      <c r="J12" s="94">
        <f>SUMIFS(TbRegistroEntradas[Valor],TbRegistroEntradas[Conta Nível 2],$J$4,TbRegistroEntradas[Ano Competência],$L$3,TbRegistroEntradas[Mês Competência],F12,TbRegistroEntradas[Data da Competência],"&lt;="&amp;$C$5)</f>
        <v>0</v>
      </c>
      <c r="K12" s="94" t="e">
        <f t="shared" si="0"/>
        <v>#N/A</v>
      </c>
      <c r="L12" s="85" t="s">
        <v>583</v>
      </c>
    </row>
    <row r="13" spans="1:12" x14ac:dyDescent="0.25">
      <c r="A13" s="82"/>
      <c r="B13" s="99" t="s">
        <v>582</v>
      </c>
      <c r="C13" s="99"/>
      <c r="D13" s="95">
        <f>SUMIFS(TbRegistroSaídas[Valor],TbRegistroSaídas[Data do Caixa Realizado],"",TbRegistroSaídas[Ano Previsto],C4,TbRegistroSaídas[Data do Caixa Previsto],"&lt;="&amp;C5)</f>
        <v>14256</v>
      </c>
      <c r="E13" s="82"/>
      <c r="F13" s="82">
        <v>9</v>
      </c>
      <c r="G13" s="94">
        <f>SUMIFS(TbRegistroSaídas[Valor],TbRegistroSaídas[Data do Caixa Realizado],"",TbRegistroSaídas[Ano Previsto],$C$4,TbRegistroSaídas[Mês Previsto],F13,TbRegistroSaídas[Data do Caixa Previsto],"&lt;="&amp;$C$5)</f>
        <v>0</v>
      </c>
      <c r="H13" s="94">
        <f>SUMIFS(TbRegistroEntradas[Valor],TbRegistroEntradas[Data do Caixa Realizado],"",TbRegistroEntradas[Ano Previsto],$C$4,TbRegistroEntradas[Mês Previsto],F13,TbRegistroEntradas[Data do Caixa Previsto],"&lt;="&amp;$C$5)</f>
        <v>0</v>
      </c>
      <c r="I13" s="82"/>
      <c r="J13" s="94">
        <f>SUMIFS(TbRegistroEntradas[Valor],TbRegistroEntradas[Conta Nível 2],$J$4,TbRegistroEntradas[Ano Competência],$L$3,TbRegistroEntradas[Mês Competência],F13,TbRegistroEntradas[Data da Competência],"&lt;="&amp;$C$5)</f>
        <v>0</v>
      </c>
      <c r="K13" s="94" t="e">
        <f t="shared" si="0"/>
        <v>#N/A</v>
      </c>
      <c r="L13" s="85" t="s">
        <v>585</v>
      </c>
    </row>
    <row r="14" spans="1:12" x14ac:dyDescent="0.25">
      <c r="A14" s="82"/>
      <c r="B14" s="100" t="s">
        <v>584</v>
      </c>
      <c r="C14" s="100"/>
      <c r="D14" s="101">
        <f>SUMIFS(TbRegistroEntradas[Valor],TbRegistroEntradas[Data do Caixa Realizado],"",TbRegistroEntradas[Ano Previsto],C4,TbRegistroEntradas[Data do Caixa Previsto],"&lt;="&amp;C5)</f>
        <v>7998</v>
      </c>
      <c r="E14" s="82"/>
      <c r="F14" s="82">
        <v>10</v>
      </c>
      <c r="G14" s="94">
        <f>SUMIFS(TbRegistroSaídas[Valor],TbRegistroSaídas[Data do Caixa Realizado],"",TbRegistroSaídas[Ano Previsto],$C$4,TbRegistroSaídas[Mês Previsto],F14,TbRegistroSaídas[Data do Caixa Previsto],"&lt;="&amp;$C$5)</f>
        <v>0</v>
      </c>
      <c r="H14" s="94">
        <f>SUMIFS(TbRegistroEntradas[Valor],TbRegistroEntradas[Data do Caixa Realizado],"",TbRegistroEntradas[Ano Previsto],$C$4,TbRegistroEntradas[Mês Previsto],F14,TbRegistroEntradas[Data do Caixa Previsto],"&lt;="&amp;$C$5)</f>
        <v>0</v>
      </c>
      <c r="I14" s="82"/>
      <c r="J14" s="94">
        <f>SUMIFS(TbRegistroEntradas[Valor],TbRegistroEntradas[Conta Nível 2],$J$4,TbRegistroEntradas[Ano Competência],$L$3,TbRegistroEntradas[Mês Competência],F14,TbRegistroEntradas[Data da Competência],"&lt;="&amp;$C$5)</f>
        <v>0</v>
      </c>
      <c r="K14" s="94" t="e">
        <f t="shared" si="0"/>
        <v>#N/A</v>
      </c>
      <c r="L14" s="85" t="s">
        <v>586</v>
      </c>
    </row>
    <row r="15" spans="1:12" x14ac:dyDescent="0.25">
      <c r="A15" s="82"/>
      <c r="B15" s="82"/>
      <c r="C15" s="82"/>
      <c r="D15" s="82"/>
      <c r="E15" s="82"/>
      <c r="F15" s="82">
        <v>11</v>
      </c>
      <c r="G15" s="94">
        <f>SUMIFS(TbRegistroSaídas[Valor],TbRegistroSaídas[Data do Caixa Realizado],"",TbRegistroSaídas[Ano Previsto],$C$4,TbRegistroSaídas[Mês Previsto],F15,TbRegistroSaídas[Data do Caixa Previsto],"&lt;="&amp;$C$5)</f>
        <v>0</v>
      </c>
      <c r="H15" s="94">
        <f>SUMIFS(TbRegistroEntradas[Valor],TbRegistroEntradas[Data do Caixa Realizado],"",TbRegistroEntradas[Ano Previsto],$C$4,TbRegistroEntradas[Mês Previsto],F15,TbRegistroEntradas[Data do Caixa Previsto],"&lt;="&amp;$C$5)</f>
        <v>0</v>
      </c>
      <c r="I15" s="82"/>
      <c r="J15" s="94">
        <f>SUMIFS(TbRegistroEntradas[Valor],TbRegistroEntradas[Conta Nível 2],$J$4,TbRegistroEntradas[Ano Competência],$L$3,TbRegistroEntradas[Mês Competência],F15,TbRegistroEntradas[Data da Competência],"&lt;="&amp;$C$5)</f>
        <v>0</v>
      </c>
      <c r="K15" s="94" t="e">
        <f t="shared" si="0"/>
        <v>#N/A</v>
      </c>
      <c r="L15" s="85" t="s">
        <v>587</v>
      </c>
    </row>
    <row r="16" spans="1:12" x14ac:dyDescent="0.25">
      <c r="A16" s="82"/>
      <c r="B16" s="82"/>
      <c r="C16" s="82"/>
      <c r="D16" s="82"/>
      <c r="E16" s="82"/>
      <c r="F16" s="97">
        <v>12</v>
      </c>
      <c r="G16" s="102">
        <f>SUMIFS(TbRegistroSaídas[Valor],TbRegistroSaídas[Data do Caixa Realizado],"",TbRegistroSaídas[Ano Previsto],$C$4,TbRegistroSaídas[Mês Previsto],F16,TbRegistroSaídas[Data do Caixa Previsto],"&lt;="&amp;$C$5)</f>
        <v>0</v>
      </c>
      <c r="H16" s="102">
        <f>SUMIFS(TbRegistroEntradas[Valor],TbRegistroEntradas[Data do Caixa Realizado],"",TbRegistroEntradas[Ano Previsto],$C$4,TbRegistroEntradas[Mês Previsto],F16,TbRegistroEntradas[Data do Caixa Previsto],"&lt;="&amp;$C$5)</f>
        <v>0</v>
      </c>
      <c r="I16" s="82"/>
      <c r="J16" s="102">
        <f>SUMIFS(TbRegistroEntradas[Valor],TbRegistroEntradas[Conta Nível 2],$J$4,TbRegistroEntradas[Ano Competência],$L$3,TbRegistroEntradas[Mês Competência],F16,TbRegistroEntradas[Data da Competência],"&lt;="&amp;$C$5)</f>
        <v>0</v>
      </c>
      <c r="K16" s="102" t="e">
        <f t="shared" si="0"/>
        <v>#N/A</v>
      </c>
      <c r="L16" s="103" t="s">
        <v>588</v>
      </c>
    </row>
    <row r="17" spans="1:12" x14ac:dyDescent="0.25">
      <c r="A17" s="82"/>
      <c r="B17" s="82"/>
      <c r="C17" s="82"/>
      <c r="D17" s="82"/>
      <c r="E17" s="82"/>
      <c r="F17" s="82"/>
      <c r="G17" s="82"/>
      <c r="H17" s="82"/>
      <c r="I17" s="82"/>
      <c r="J17" s="82"/>
      <c r="K17" s="82"/>
      <c r="L17" s="82"/>
    </row>
    <row r="18" spans="1:12" x14ac:dyDescent="0.25">
      <c r="A18" s="82"/>
      <c r="B18" s="82"/>
      <c r="C18" s="82"/>
      <c r="D18" s="82"/>
      <c r="E18" s="82"/>
      <c r="F18" s="82"/>
      <c r="G18" s="82"/>
      <c r="H18" s="82"/>
      <c r="I18" s="82"/>
      <c r="J18" s="82"/>
      <c r="K18" s="82"/>
      <c r="L18" s="82"/>
    </row>
    <row r="19" spans="1:12" x14ac:dyDescent="0.25">
      <c r="A19" s="82"/>
      <c r="B19" s="84" t="s">
        <v>589</v>
      </c>
      <c r="C19" s="82"/>
      <c r="D19" s="82"/>
      <c r="E19" s="104"/>
      <c r="F19" s="82"/>
      <c r="G19" s="82"/>
      <c r="H19" s="82"/>
      <c r="I19" s="82"/>
      <c r="J19" s="82"/>
      <c r="K19" s="82"/>
      <c r="L19" s="82"/>
    </row>
    <row r="20" spans="1:12" x14ac:dyDescent="0.25">
      <c r="A20" s="82"/>
      <c r="B20" s="88" t="s">
        <v>590</v>
      </c>
      <c r="C20" s="89" t="s">
        <v>591</v>
      </c>
      <c r="D20" s="89" t="s">
        <v>592</v>
      </c>
      <c r="E20" s="89" t="s">
        <v>593</v>
      </c>
      <c r="F20" s="82"/>
      <c r="G20" s="82"/>
      <c r="H20" s="82"/>
      <c r="I20" s="82"/>
      <c r="J20" s="82"/>
      <c r="K20" s="82"/>
      <c r="L20" s="82"/>
    </row>
    <row r="21" spans="1:12" x14ac:dyDescent="0.25">
      <c r="A21" s="82"/>
      <c r="B21" s="105">
        <f>C4</f>
        <v>2019</v>
      </c>
      <c r="C21" s="106">
        <f>SUMIFS(TbRegistroEntradas[Valor],TbRegistroEntradas[Ano Competência],B21,TbRegistroEntradas[Venda à Vista],"Vista",TbRegistroEntradas[Data da Competência],"&lt;="&amp;C5)</f>
        <v>38162</v>
      </c>
      <c r="D21" s="106">
        <f>SUMIFS(TbRegistroEntradas[Valor],TbRegistroEntradas[Ano Competência],B21,TbRegistroEntradas[Venda à Vista],"Prazo",TbRegistroEntradas[Data da Competência],"&lt;="&amp;C5)</f>
        <v>58030</v>
      </c>
      <c r="E21" s="106">
        <f>C21+D21</f>
        <v>96192</v>
      </c>
      <c r="F21" s="82"/>
      <c r="G21" s="82"/>
      <c r="H21" s="82"/>
      <c r="I21" s="82"/>
      <c r="J21" s="82"/>
      <c r="K21" s="82"/>
      <c r="L21" s="82"/>
    </row>
    <row r="22" spans="1:12" x14ac:dyDescent="0.25">
      <c r="A22" s="82"/>
      <c r="B22" s="82"/>
      <c r="C22" s="82"/>
      <c r="D22" s="82"/>
      <c r="E22" s="82"/>
      <c r="F22" s="82"/>
      <c r="G22" s="82"/>
      <c r="H22" s="82"/>
      <c r="I22" s="82"/>
      <c r="J22" s="82"/>
      <c r="K22" s="82"/>
      <c r="L22" s="82"/>
    </row>
    <row r="23" spans="1:12" x14ac:dyDescent="0.25">
      <c r="A23" s="82"/>
      <c r="B23" s="82"/>
      <c r="C23" s="82"/>
      <c r="D23" s="82"/>
      <c r="E23" s="82"/>
      <c r="F23" s="82"/>
      <c r="G23" s="82"/>
      <c r="H23" s="82"/>
      <c r="I23" s="82"/>
      <c r="J23" s="82"/>
      <c r="K23" s="82"/>
      <c r="L23" s="82"/>
    </row>
    <row r="24" spans="1:12" x14ac:dyDescent="0.25">
      <c r="A24" s="82"/>
      <c r="B24" s="84" t="s">
        <v>594</v>
      </c>
      <c r="C24" s="82"/>
      <c r="D24" s="82"/>
      <c r="E24" s="82"/>
      <c r="F24" s="82"/>
      <c r="G24" s="84" t="s">
        <v>595</v>
      </c>
      <c r="H24" s="82"/>
      <c r="I24" s="82"/>
      <c r="J24" s="82"/>
      <c r="K24" s="82"/>
      <c r="L24" s="82"/>
    </row>
    <row r="25" spans="1:12" x14ac:dyDescent="0.25">
      <c r="A25" s="82"/>
      <c r="B25" s="88" t="s">
        <v>590</v>
      </c>
      <c r="C25" s="89" t="s">
        <v>596</v>
      </c>
      <c r="D25" s="89" t="s">
        <v>558</v>
      </c>
      <c r="E25" s="89" t="s">
        <v>597</v>
      </c>
      <c r="F25" s="82"/>
      <c r="G25" s="88" t="s">
        <v>590</v>
      </c>
      <c r="H25" s="89" t="s">
        <v>596</v>
      </c>
      <c r="I25" s="89" t="s">
        <v>558</v>
      </c>
      <c r="J25" s="89" t="s">
        <v>597</v>
      </c>
      <c r="K25" s="82"/>
      <c r="L25" s="82"/>
    </row>
    <row r="26" spans="1:12" x14ac:dyDescent="0.25">
      <c r="A26" s="82"/>
      <c r="B26" s="105">
        <f>C4</f>
        <v>2019</v>
      </c>
      <c r="C26" s="107">
        <f ca="1">COUNTIFS(TbRegistroEntradas[Ano Competência],B26,TbRegistroEntradas[Dias de Atraso],"&gt;0",TbRegistroEntradas[Data da Competência],"&lt;="&amp;C5)</f>
        <v>10</v>
      </c>
      <c r="D26" s="107">
        <f ca="1">SUMIFS(TbRegistroEntradas[Dias de Atraso],TbRegistroEntradas[Ano Competência],B26,TbRegistroEntradas[Dias de Atraso],"&gt;0",TbRegistroEntradas[Data da Competência],"&lt;="&amp;C5)</f>
        <v>7428</v>
      </c>
      <c r="E26" s="107">
        <f ca="1">D26/C26</f>
        <v>742.8</v>
      </c>
      <c r="F26" s="82"/>
      <c r="G26" s="105">
        <f>C4</f>
        <v>2019</v>
      </c>
      <c r="H26" s="107">
        <f ca="1">COUNTIFS(TbRegistroSaídas[Ano Competência],B26,TbRegistroSaídas[Dias de Atraso],"&gt;0",TbRegistroSaídas[Data da Competência],"&lt;="&amp;C5)</f>
        <v>10</v>
      </c>
      <c r="I26" s="107">
        <f ca="1">SUMIFS(TbRegistroSaídas[Dias de Atraso],TbRegistroSaídas[Ano Competência],B26,TbRegistroSaídas[Dias de Atraso],"&gt;0",TbRegistroSaídas[Data da Competência],"&lt;="&amp;C5)</f>
        <v>10973.816273324024</v>
      </c>
      <c r="J26" s="107">
        <f ca="1">I26/H26</f>
        <v>1097.3816273324023</v>
      </c>
      <c r="K26" s="82"/>
      <c r="L26" s="82"/>
    </row>
    <row r="27" spans="1:12" x14ac:dyDescent="0.25">
      <c r="A27" s="82"/>
      <c r="B27" s="82"/>
      <c r="C27" s="82"/>
      <c r="D27" s="82"/>
      <c r="E27" s="82"/>
      <c r="F27" s="82"/>
      <c r="G27" s="82"/>
      <c r="H27" s="82"/>
      <c r="I27" s="82"/>
      <c r="J27" s="82"/>
      <c r="K27" s="82"/>
      <c r="L27" s="82"/>
    </row>
    <row r="28" spans="1:12" x14ac:dyDescent="0.25">
      <c r="A28" s="82"/>
      <c r="B28" s="82"/>
      <c r="C28" s="82"/>
      <c r="D28" s="82"/>
      <c r="E28" s="82"/>
      <c r="F28" s="82"/>
      <c r="G28" s="82"/>
      <c r="H28" s="82"/>
      <c r="I28" s="82"/>
      <c r="J28" s="82"/>
      <c r="K28" s="82"/>
      <c r="L28" s="82"/>
    </row>
    <row r="29" spans="1:12" x14ac:dyDescent="0.25">
      <c r="A29" s="82"/>
      <c r="B29" s="84" t="s">
        <v>598</v>
      </c>
      <c r="C29" s="82"/>
      <c r="D29" s="82"/>
      <c r="E29" s="82"/>
      <c r="F29" s="82"/>
      <c r="G29" s="84" t="s">
        <v>599</v>
      </c>
      <c r="H29" s="108">
        <f>C4</f>
        <v>2019</v>
      </c>
      <c r="I29" s="82"/>
      <c r="J29" s="82"/>
      <c r="K29" s="82"/>
      <c r="L29" s="82"/>
    </row>
    <row r="30" spans="1:12" x14ac:dyDescent="0.25">
      <c r="A30" s="82"/>
      <c r="B30" s="109" t="s">
        <v>590</v>
      </c>
      <c r="C30" s="93" t="s">
        <v>575</v>
      </c>
      <c r="D30" s="93" t="s">
        <v>577</v>
      </c>
      <c r="E30" s="93" t="s">
        <v>600</v>
      </c>
      <c r="F30" s="82"/>
      <c r="G30" s="88" t="s">
        <v>567</v>
      </c>
      <c r="H30" s="110" t="str">
        <f>DashBoardFinanceiroAtual!K14</f>
        <v>Vestuário</v>
      </c>
      <c r="I30" s="82"/>
      <c r="J30" s="82"/>
      <c r="K30" s="82"/>
      <c r="L30" s="82"/>
    </row>
    <row r="31" spans="1:12" x14ac:dyDescent="0.25">
      <c r="A31" s="82"/>
      <c r="B31" s="121">
        <f>C4</f>
        <v>2019</v>
      </c>
      <c r="C31" s="111">
        <f>SUMIFS(TbRegistroEntradas[Valor],TbRegistroEntradas[Ano Competência],B31,TbRegistroEntradas[Data da Competência],"&lt;="&amp;C5)</f>
        <v>96192</v>
      </c>
      <c r="D31" s="111">
        <f>SUMIFS(TbRegistroSaídas[Valor],TbRegistroSaídas[Ano Competência],B31,TbRegistroSaídas[Data da Competência],"&lt;="&amp;C5)</f>
        <v>115511</v>
      </c>
      <c r="E31" s="112">
        <f>C31-D31</f>
        <v>-19319</v>
      </c>
      <c r="F31" s="82"/>
      <c r="G31" s="82">
        <v>1</v>
      </c>
      <c r="H31" s="94">
        <f>SUMIFS(TbRegistroSaídas[Valor],TbRegistroSaídas[Conta Nível 2],$H$30,TbRegistroSaídas[Ano Competência],$H$29,TbRegistroSaídas[Mês Competência],G31,TbRegistroSaídas[Data da Competência],"&lt;="&amp;$C$5)</f>
        <v>14690</v>
      </c>
      <c r="I31" s="82"/>
      <c r="J31" s="82"/>
      <c r="K31" s="82"/>
      <c r="L31" s="82"/>
    </row>
    <row r="32" spans="1:12" x14ac:dyDescent="0.25">
      <c r="A32" s="82"/>
      <c r="B32" s="82"/>
      <c r="C32" s="82"/>
      <c r="D32" s="82"/>
      <c r="E32" s="82"/>
      <c r="F32" s="82"/>
      <c r="G32" s="82">
        <v>2</v>
      </c>
      <c r="H32" s="94">
        <f>SUMIFS(TbRegistroSaídas[Valor],TbRegistroSaídas[Conta Nível 2],$H$30,TbRegistroSaídas[Ano Competência],$H$29,TbRegistroSaídas[Mês Competência],G32,TbRegistroSaídas[Data da Competência],"&lt;="&amp;$C$5)</f>
        <v>6991</v>
      </c>
      <c r="I32" s="82"/>
      <c r="J32" s="82"/>
      <c r="K32" s="82"/>
      <c r="L32" s="82"/>
    </row>
    <row r="33" spans="1:12" x14ac:dyDescent="0.25">
      <c r="A33" s="82"/>
      <c r="B33" s="82"/>
      <c r="C33" s="82"/>
      <c r="D33" s="82"/>
      <c r="E33" s="82"/>
      <c r="F33" s="82"/>
      <c r="G33" s="82">
        <v>3</v>
      </c>
      <c r="H33" s="94">
        <f>SUMIFS(TbRegistroSaídas[Valor],TbRegistroSaídas[Conta Nível 2],$H$30,TbRegistroSaídas[Ano Competência],$H$29,TbRegistroSaídas[Mês Competência],G33,TbRegistroSaídas[Data da Competência],"&lt;="&amp;$C$5)</f>
        <v>8219</v>
      </c>
      <c r="I33" s="82"/>
      <c r="J33" s="82"/>
      <c r="K33" s="82"/>
      <c r="L33" s="82"/>
    </row>
    <row r="34" spans="1:12" x14ac:dyDescent="0.25">
      <c r="A34" s="82"/>
      <c r="B34" s="82"/>
      <c r="C34" s="82"/>
      <c r="D34" s="82"/>
      <c r="E34" s="82"/>
      <c r="F34" s="82"/>
      <c r="G34" s="82">
        <v>4</v>
      </c>
      <c r="H34" s="94">
        <f>SUMIFS(TbRegistroSaídas[Valor],TbRegistroSaídas[Conta Nível 2],$H$30,TbRegistroSaídas[Ano Competência],$H$29,TbRegistroSaídas[Mês Competência],G34,TbRegistroSaídas[Data da Competência],"&lt;="&amp;$C$5)</f>
        <v>19692</v>
      </c>
      <c r="I34" s="82"/>
      <c r="J34" s="82"/>
      <c r="K34" s="82"/>
      <c r="L34" s="82"/>
    </row>
    <row r="35" spans="1:12" x14ac:dyDescent="0.25">
      <c r="A35" s="82"/>
      <c r="B35" s="82"/>
      <c r="C35" s="82"/>
      <c r="D35" s="82"/>
      <c r="E35" s="82"/>
      <c r="F35" s="82"/>
      <c r="G35" s="82">
        <v>5</v>
      </c>
      <c r="H35" s="94">
        <f>SUMIFS(TbRegistroSaídas[Valor],TbRegistroSaídas[Conta Nível 2],$H$30,TbRegistroSaídas[Ano Competência],$H$29,TbRegistroSaídas[Mês Competência],G35,TbRegistroSaídas[Data da Competência],"&lt;="&amp;$C$5)</f>
        <v>0</v>
      </c>
      <c r="I35" s="82"/>
      <c r="J35" s="82"/>
      <c r="K35" s="82"/>
      <c r="L35" s="82"/>
    </row>
    <row r="36" spans="1:12" x14ac:dyDescent="0.25">
      <c r="A36" s="82"/>
      <c r="B36" s="82"/>
      <c r="C36" s="82"/>
      <c r="D36" s="82"/>
      <c r="E36" s="82"/>
      <c r="F36" s="82"/>
      <c r="G36" s="82">
        <v>6</v>
      </c>
      <c r="H36" s="94">
        <f>SUMIFS(TbRegistroSaídas[Valor],TbRegistroSaídas[Conta Nível 2],$H$30,TbRegistroSaídas[Ano Competência],$H$29,TbRegistroSaídas[Mês Competência],G36,TbRegistroSaídas[Data da Competência],"&lt;="&amp;$C$5)</f>
        <v>0</v>
      </c>
      <c r="I36" s="82"/>
      <c r="J36" s="82"/>
      <c r="K36" s="82"/>
      <c r="L36" s="82"/>
    </row>
    <row r="37" spans="1:12" x14ac:dyDescent="0.25">
      <c r="A37" s="82"/>
      <c r="B37" s="82"/>
      <c r="C37" s="82"/>
      <c r="D37" s="82"/>
      <c r="E37" s="82"/>
      <c r="F37" s="82"/>
      <c r="G37" s="82">
        <v>7</v>
      </c>
      <c r="H37" s="94">
        <f>SUMIFS(TbRegistroSaídas[Valor],TbRegistroSaídas[Conta Nível 2],$H$30,TbRegistroSaídas[Ano Competência],$H$29,TbRegistroSaídas[Mês Competência],G37,TbRegistroSaídas[Data da Competência],"&lt;="&amp;$C$5)</f>
        <v>0</v>
      </c>
      <c r="I37" s="82"/>
      <c r="J37" s="82"/>
      <c r="K37" s="82"/>
      <c r="L37" s="82"/>
    </row>
    <row r="38" spans="1:12" x14ac:dyDescent="0.25">
      <c r="A38" s="82"/>
      <c r="B38" s="82"/>
      <c r="C38" s="82"/>
      <c r="D38" s="82"/>
      <c r="E38" s="82"/>
      <c r="F38" s="82"/>
      <c r="G38" s="82">
        <v>8</v>
      </c>
      <c r="H38" s="94">
        <f>SUMIFS(TbRegistroSaídas[Valor],TbRegistroSaídas[Conta Nível 2],$H$30,TbRegistroSaídas[Ano Competência],$H$29,TbRegistroSaídas[Mês Competência],G38,TbRegistroSaídas[Data da Competência],"&lt;="&amp;$C$5)</f>
        <v>0</v>
      </c>
      <c r="I38" s="82"/>
      <c r="J38" s="82"/>
      <c r="K38" s="82"/>
      <c r="L38" s="82"/>
    </row>
    <row r="39" spans="1:12" x14ac:dyDescent="0.25">
      <c r="A39" s="82"/>
      <c r="B39" s="82"/>
      <c r="C39" s="82"/>
      <c r="D39" s="82"/>
      <c r="E39" s="82"/>
      <c r="F39" s="82"/>
      <c r="G39" s="82">
        <v>9</v>
      </c>
      <c r="H39" s="94">
        <f>SUMIFS(TbRegistroSaídas[Valor],TbRegistroSaídas[Conta Nível 2],$H$30,TbRegistroSaídas[Ano Competência],$H$29,TbRegistroSaídas[Mês Competência],G39,TbRegistroSaídas[Data da Competência],"&lt;="&amp;$C$5)</f>
        <v>0</v>
      </c>
      <c r="I39" s="82"/>
      <c r="J39" s="82"/>
      <c r="K39" s="82"/>
      <c r="L39" s="82"/>
    </row>
    <row r="40" spans="1:12" x14ac:dyDescent="0.25">
      <c r="A40" s="82"/>
      <c r="B40" s="82"/>
      <c r="C40" s="82"/>
      <c r="D40" s="82"/>
      <c r="E40" s="82"/>
      <c r="F40" s="82"/>
      <c r="G40" s="82">
        <v>10</v>
      </c>
      <c r="H40" s="94">
        <f>SUMIFS(TbRegistroSaídas[Valor],TbRegistroSaídas[Conta Nível 2],$H$30,TbRegistroSaídas[Ano Competência],$H$29,TbRegistroSaídas[Mês Competência],G40,TbRegistroSaídas[Data da Competência],"&lt;="&amp;$C$5)</f>
        <v>0</v>
      </c>
      <c r="I40" s="82"/>
      <c r="J40" s="82"/>
      <c r="K40" s="82"/>
      <c r="L40" s="82"/>
    </row>
    <row r="41" spans="1:12" x14ac:dyDescent="0.25">
      <c r="A41" s="82"/>
      <c r="B41" s="82"/>
      <c r="C41" s="82"/>
      <c r="D41" s="82"/>
      <c r="E41" s="82"/>
      <c r="F41" s="82"/>
      <c r="G41" s="82">
        <v>11</v>
      </c>
      <c r="H41" s="94">
        <f>SUMIFS(TbRegistroSaídas[Valor],TbRegistroSaídas[Conta Nível 2],$H$30,TbRegistroSaídas[Ano Competência],$H$29,TbRegistroSaídas[Mês Competência],G41,TbRegistroSaídas[Data da Competência],"&lt;="&amp;$C$5)</f>
        <v>0</v>
      </c>
      <c r="I41" s="82"/>
      <c r="J41" s="82"/>
      <c r="K41" s="82"/>
      <c r="L41" s="82"/>
    </row>
    <row r="42" spans="1:12" x14ac:dyDescent="0.25">
      <c r="A42" s="82"/>
      <c r="B42" s="82"/>
      <c r="C42" s="82"/>
      <c r="D42" s="82"/>
      <c r="E42" s="82"/>
      <c r="F42" s="82"/>
      <c r="G42" s="97">
        <v>12</v>
      </c>
      <c r="H42" s="94">
        <f>SUMIFS(TbRegistroSaídas[Valor],TbRegistroSaídas[Conta Nível 2],$H$30,TbRegistroSaídas[Ano Competência],$H$29,TbRegistroSaídas[Mês Competência],G42,TbRegistroSaídas[Data da Competência],"&lt;="&amp;$C$5)</f>
        <v>0</v>
      </c>
      <c r="I42" s="82"/>
      <c r="J42" s="82"/>
      <c r="K42" s="82"/>
      <c r="L42" s="82"/>
    </row>
    <row r="43" spans="1:12" x14ac:dyDescent="0.25">
      <c r="A43" s="82"/>
      <c r="B43" s="82"/>
      <c r="C43" s="82"/>
      <c r="D43" s="82"/>
      <c r="E43" s="82"/>
      <c r="F43" s="82"/>
      <c r="G43" s="88" t="s">
        <v>593</v>
      </c>
      <c r="H43" s="94">
        <f>SUM(H31:H42)</f>
        <v>49592</v>
      </c>
      <c r="I43" s="82"/>
      <c r="J43" s="82"/>
      <c r="K43" s="82"/>
      <c r="L43" s="82"/>
    </row>
    <row r="44" spans="1:12" x14ac:dyDescent="0.25">
      <c r="A44" s="82"/>
      <c r="B44" s="82"/>
      <c r="C44" s="82"/>
      <c r="D44" s="82"/>
      <c r="E44" s="82"/>
      <c r="F44" s="82"/>
      <c r="G44" s="82"/>
      <c r="H44" s="82"/>
      <c r="I44" s="82"/>
      <c r="J44" s="82"/>
      <c r="K44" s="82"/>
      <c r="L44" s="82"/>
    </row>
    <row r="45" spans="1:12" x14ac:dyDescent="0.25">
      <c r="A45" s="82"/>
      <c r="F45" s="82"/>
      <c r="G45" s="82"/>
      <c r="H45" s="82"/>
      <c r="I45" s="82"/>
      <c r="J45" s="82"/>
      <c r="K45" s="82"/>
      <c r="L45" s="82"/>
    </row>
  </sheetData>
  <conditionalFormatting sqref="C11">
    <cfRule type="cellIs" dxfId="2" priority="1" operator="lessThan">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17AD-3353-4BE7-9B20-179C86451CE3}">
  <dimension ref="A1:O21"/>
  <sheetViews>
    <sheetView showGridLines="0" zoomScaleNormal="100" workbookViewId="0">
      <selection activeCell="K14" sqref="K14"/>
    </sheetView>
  </sheetViews>
  <sheetFormatPr defaultColWidth="0" defaultRowHeight="15" x14ac:dyDescent="0.25"/>
  <cols>
    <col min="1" max="1" width="2.7109375" customWidth="1"/>
    <col min="2" max="2" width="40.7109375" customWidth="1"/>
    <col min="3" max="3" width="3.42578125" customWidth="1"/>
    <col min="4" max="4" width="38.85546875" customWidth="1"/>
    <col min="5" max="5" width="3.42578125" customWidth="1"/>
    <col min="6" max="6" width="12.85546875" customWidth="1"/>
    <col min="7" max="7" width="12" customWidth="1"/>
    <col min="8" max="8" width="4.42578125" customWidth="1"/>
    <col min="9" max="9" width="28.5703125" customWidth="1"/>
    <col min="10" max="10" width="3.7109375" customWidth="1"/>
    <col min="11" max="11" width="30.7109375" customWidth="1"/>
    <col min="12" max="12" width="3.5703125" customWidth="1"/>
    <col min="13" max="15" width="0" hidden="1" customWidth="1"/>
    <col min="16" max="16384" width="9.140625" hidden="1"/>
  </cols>
  <sheetData>
    <row r="1" spans="2:11" ht="39.950000000000003" customHeight="1" x14ac:dyDescent="0.25">
      <c r="B1" s="4" t="s">
        <v>0</v>
      </c>
      <c r="C1" s="1"/>
      <c r="D1" s="1"/>
      <c r="E1" s="1"/>
      <c r="F1" s="1"/>
      <c r="G1" s="1"/>
      <c r="H1" s="1"/>
      <c r="I1" s="1"/>
      <c r="J1" s="1"/>
      <c r="K1" s="5" t="s">
        <v>551</v>
      </c>
    </row>
    <row r="2" spans="2:11" ht="39.950000000000003" customHeight="1" x14ac:dyDescent="0.25">
      <c r="B2" s="3"/>
      <c r="C2" s="3"/>
      <c r="D2" s="3"/>
      <c r="E2" s="3"/>
      <c r="F2" s="3"/>
      <c r="G2" s="3"/>
      <c r="H2" s="3"/>
      <c r="I2" s="3"/>
      <c r="J2" s="3"/>
      <c r="K2" s="113">
        <v>2019</v>
      </c>
    </row>
    <row r="3" spans="2:11" ht="20.100000000000001" customHeight="1" x14ac:dyDescent="0.25"/>
    <row r="4" spans="2:11" ht="20.100000000000001" customHeight="1" x14ac:dyDescent="0.25">
      <c r="B4" s="59" t="s">
        <v>552</v>
      </c>
      <c r="C4" s="60"/>
      <c r="D4" s="59" t="s">
        <v>553</v>
      </c>
      <c r="F4" s="57"/>
      <c r="G4" s="58"/>
      <c r="H4" s="58"/>
      <c r="I4" s="81" t="s">
        <v>561</v>
      </c>
      <c r="J4" s="58"/>
      <c r="K4" s="132" t="s">
        <v>33</v>
      </c>
    </row>
    <row r="5" spans="2:11" ht="20.100000000000001" customHeight="1" x14ac:dyDescent="0.25">
      <c r="B5" s="115">
        <f>DashBoardFinanceiroAnualD!C11</f>
        <v>21057</v>
      </c>
      <c r="C5" s="60"/>
      <c r="D5" s="118" t="s">
        <v>604</v>
      </c>
      <c r="F5" s="52"/>
      <c r="K5" s="53"/>
    </row>
    <row r="6" spans="2:11" ht="9.75" customHeight="1" x14ac:dyDescent="0.25">
      <c r="B6" s="60"/>
      <c r="C6" s="60"/>
      <c r="D6" s="60"/>
      <c r="F6" s="52"/>
      <c r="K6" s="53"/>
    </row>
    <row r="7" spans="2:11" ht="20.100000000000001" customHeight="1" x14ac:dyDescent="0.25">
      <c r="B7" s="59" t="s">
        <v>602</v>
      </c>
      <c r="C7" s="60"/>
      <c r="D7" s="138"/>
      <c r="F7" s="52"/>
      <c r="K7" s="64" t="s">
        <v>593</v>
      </c>
    </row>
    <row r="8" spans="2:11" ht="20.100000000000001" customHeight="1" x14ac:dyDescent="0.25">
      <c r="B8" s="116">
        <f>DashBoardFinanceiroAnualD!D13</f>
        <v>27321</v>
      </c>
      <c r="C8" s="60"/>
      <c r="D8" s="139"/>
      <c r="F8" s="52"/>
      <c r="K8" s="119">
        <f>SUM(DashBoardFinanceiroAnualD!J5:J16)</f>
        <v>26160</v>
      </c>
    </row>
    <row r="9" spans="2:11" ht="9.75" customHeight="1" x14ac:dyDescent="0.25">
      <c r="B9" s="60"/>
      <c r="C9" s="60"/>
      <c r="D9" s="60"/>
      <c r="F9" s="52"/>
      <c r="K9" s="53"/>
    </row>
    <row r="10" spans="2:11" ht="20.100000000000001" customHeight="1" x14ac:dyDescent="0.25">
      <c r="B10" s="59" t="s">
        <v>603</v>
      </c>
      <c r="C10" s="60"/>
      <c r="D10" s="138"/>
      <c r="F10" s="52"/>
      <c r="K10" s="53"/>
    </row>
    <row r="11" spans="2:11" ht="20.100000000000001" customHeight="1" x14ac:dyDescent="0.25">
      <c r="B11" s="117">
        <f>DashBoardFinanceiroAnualD!D14</f>
        <v>20687</v>
      </c>
      <c r="C11" s="60"/>
      <c r="D11" s="139"/>
      <c r="F11" s="54"/>
      <c r="G11" s="55"/>
      <c r="H11" s="55"/>
      <c r="I11" s="55"/>
      <c r="J11" s="55"/>
      <c r="K11" s="56"/>
    </row>
    <row r="12" spans="2:11" ht="12" customHeight="1" x14ac:dyDescent="0.25"/>
    <row r="13" spans="2:11" ht="20.100000000000001" customHeight="1" x14ac:dyDescent="0.25">
      <c r="B13" s="140" t="s">
        <v>554</v>
      </c>
      <c r="C13" s="141"/>
      <c r="D13" s="142"/>
      <c r="E13" s="60"/>
      <c r="F13" s="140" t="s">
        <v>555</v>
      </c>
      <c r="G13" s="142"/>
      <c r="H13" s="60"/>
      <c r="I13" s="59" t="s">
        <v>559</v>
      </c>
      <c r="J13" s="60"/>
      <c r="K13" s="59" t="s">
        <v>560</v>
      </c>
    </row>
    <row r="14" spans="2:11" ht="20.100000000000001" customHeight="1" x14ac:dyDescent="0.25">
      <c r="B14" s="61"/>
      <c r="C14" s="60"/>
      <c r="D14" s="62"/>
      <c r="E14" s="60"/>
      <c r="F14" s="63" t="s">
        <v>556</v>
      </c>
      <c r="G14" s="64" t="s">
        <v>557</v>
      </c>
      <c r="H14" s="60"/>
      <c r="I14" s="65">
        <f>DashBoardFinanceiroAnualD!E31</f>
        <v>-39131</v>
      </c>
      <c r="J14" s="60"/>
      <c r="K14" s="122" t="s">
        <v>43</v>
      </c>
    </row>
    <row r="15" spans="2:11" ht="20.100000000000001" customHeight="1" x14ac:dyDescent="0.25">
      <c r="B15" s="61"/>
      <c r="C15" s="60"/>
      <c r="D15" s="62"/>
      <c r="E15" s="60"/>
      <c r="F15" s="66"/>
      <c r="G15" s="67"/>
      <c r="H15" s="60"/>
      <c r="I15" s="68"/>
      <c r="J15" s="60"/>
      <c r="K15" s="123">
        <f>DashBoardFinanceiroAnualD!H43</f>
        <v>71155</v>
      </c>
    </row>
    <row r="16" spans="2:11" ht="20.100000000000001" customHeight="1" x14ac:dyDescent="0.25">
      <c r="B16" s="69">
        <f>DashBoardFinanceiroAnualD!E21</f>
        <v>130659</v>
      </c>
      <c r="C16" s="60"/>
      <c r="D16" s="62"/>
      <c r="E16" s="60"/>
      <c r="F16" s="70">
        <f ca="1">DashBoardFinanceiroAnualD!E26</f>
        <v>752.58823529411768</v>
      </c>
      <c r="G16" s="71">
        <f ca="1">DashBoardFinanceiroAnualD!J26</f>
        <v>1195.6852174482294</v>
      </c>
      <c r="H16" s="60"/>
      <c r="I16" s="68"/>
      <c r="J16" s="60"/>
      <c r="K16" s="68"/>
    </row>
    <row r="17" spans="2:11" ht="20.100000000000001" customHeight="1" x14ac:dyDescent="0.25">
      <c r="B17" s="61"/>
      <c r="C17" s="60"/>
      <c r="D17" s="62"/>
      <c r="E17" s="60"/>
      <c r="F17" s="72"/>
      <c r="G17" s="67"/>
      <c r="H17" s="60"/>
      <c r="I17" s="68"/>
      <c r="J17" s="60"/>
      <c r="K17" s="68"/>
    </row>
    <row r="18" spans="2:11" ht="18.75" x14ac:dyDescent="0.25">
      <c r="B18" s="61"/>
      <c r="C18" s="60"/>
      <c r="D18" s="62"/>
      <c r="E18" s="60"/>
      <c r="F18" s="73" t="s">
        <v>558</v>
      </c>
      <c r="G18" s="74" t="s">
        <v>558</v>
      </c>
      <c r="H18" s="60"/>
      <c r="I18" s="68"/>
      <c r="J18" s="60"/>
      <c r="K18" s="68"/>
    </row>
    <row r="19" spans="2:11" ht="18.75" x14ac:dyDescent="0.25">
      <c r="B19" s="75"/>
      <c r="C19" s="76"/>
      <c r="D19" s="77"/>
      <c r="E19" s="60"/>
      <c r="F19" s="78"/>
      <c r="G19" s="79"/>
      <c r="H19" s="60"/>
      <c r="I19" s="80"/>
      <c r="J19" s="60"/>
      <c r="K19" s="80"/>
    </row>
    <row r="21" spans="2:11" x14ac:dyDescent="0.25">
      <c r="B21" s="3"/>
      <c r="C21" s="3"/>
      <c r="D21" s="3"/>
      <c r="E21" s="3"/>
      <c r="F21" s="3"/>
      <c r="G21" s="3"/>
      <c r="H21" s="3"/>
      <c r="I21" s="3"/>
      <c r="J21" s="3"/>
      <c r="K21" s="3"/>
    </row>
  </sheetData>
  <sheetProtection sheet="1" objects="1" scenarios="1" selectLockedCells="1"/>
  <mergeCells count="4">
    <mergeCell ref="B13:D13"/>
    <mergeCell ref="F13:G13"/>
    <mergeCell ref="D7:D8"/>
    <mergeCell ref="D10:D11"/>
  </mergeCells>
  <conditionalFormatting sqref="I14">
    <cfRule type="cellIs" dxfId="1" priority="1" operator="lessThan">
      <formula>0</formula>
    </cfRule>
  </conditionalFormatting>
  <dataValidations count="2">
    <dataValidation type="list" allowBlank="1" showInputMessage="1" showErrorMessage="1" errorTitle="Conta Inexistente!" error="Selecione uma conta da lista." sqref="K14" xr:uid="{67F58B59-1782-499C-A82C-A5AD63DA7829}">
      <formula1>PCSaídasN2_Nível_2</formula1>
    </dataValidation>
    <dataValidation type="list" allowBlank="1" showInputMessage="1" showErrorMessage="1" sqref="K4" xr:uid="{9A9A1A23-A808-404E-A7A5-D602FFE832B8}">
      <formula1>PCEntradasN2_Nível_2</formula1>
    </dataValidation>
  </dataValidation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364D749C-020C-435B-9AD8-96497FEBB63F}">
          <x14:colorSeries rgb="FF92D050"/>
          <x14:colorNegative rgb="FFD00000"/>
          <x14:colorAxis rgb="FF000000"/>
          <x14:colorMarkers rgb="FFD00000"/>
          <x14:colorFirst rgb="FFD00000"/>
          <x14:colorLast rgb="FFD00000"/>
          <x14:colorHigh rgb="FFD00000"/>
          <x14:colorLow rgb="FFD00000"/>
          <x14:sparklines>
            <x14:sparkline>
              <xm:f>DashBoardFinanceiroAnualD!H5:H16</xm:f>
              <xm:sqref>D10</xm:sqref>
            </x14:sparkline>
          </x14:sparklines>
        </x14:sparklineGroup>
        <x14:sparklineGroup type="column" displayEmptyCellsAs="gap" xr2:uid="{1380CCE4-3C86-40F7-9E96-5D93B4DECD02}">
          <x14:colorSeries rgb="FFFF0000"/>
          <x14:colorNegative rgb="FFD00000"/>
          <x14:colorAxis rgb="FF000000"/>
          <x14:colorMarkers rgb="FFD00000"/>
          <x14:colorFirst rgb="FFD00000"/>
          <x14:colorLast rgb="FFD00000"/>
          <x14:colorHigh rgb="FFD00000"/>
          <x14:colorLow rgb="FFD00000"/>
          <x14:sparklines>
            <x14:sparkline>
              <xm:f>DashBoardFinanceiroAnualD!G5:G16</xm:f>
              <xm:sqref>D7</xm:sqref>
            </x14:sparkline>
          </x14:sparklines>
        </x14:sparklineGroup>
      </x14:sparklineGroup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278E-01A6-460E-8434-3EAB917F597E}">
  <dimension ref="A1:L45"/>
  <sheetViews>
    <sheetView topLeftCell="A23" workbookViewId="0">
      <selection activeCell="F42" sqref="F42"/>
    </sheetView>
  </sheetViews>
  <sheetFormatPr defaultRowHeight="15" x14ac:dyDescent="0.25"/>
  <cols>
    <col min="1" max="1" width="3.85546875" customWidth="1"/>
    <col min="2" max="2" width="13.28515625" customWidth="1"/>
    <col min="3" max="3" width="13.7109375" customWidth="1"/>
    <col min="4" max="5" width="13.28515625" customWidth="1"/>
    <col min="7" max="7" width="15.85546875" customWidth="1"/>
    <col min="8" max="8" width="18" customWidth="1"/>
    <col min="10" max="10" width="20.85546875" bestFit="1" customWidth="1"/>
    <col min="11" max="11" width="13.85546875" customWidth="1"/>
  </cols>
  <sheetData>
    <row r="1" spans="1:12" x14ac:dyDescent="0.25">
      <c r="A1" s="82"/>
      <c r="B1" s="83" t="s">
        <v>562</v>
      </c>
      <c r="C1" s="83"/>
      <c r="D1" s="83"/>
      <c r="E1" s="83"/>
      <c r="F1" s="83"/>
      <c r="G1" s="83"/>
      <c r="H1" s="83"/>
      <c r="I1" s="83"/>
      <c r="J1" s="83"/>
      <c r="K1" s="83"/>
      <c r="L1" s="83"/>
    </row>
    <row r="2" spans="1:12" x14ac:dyDescent="0.25">
      <c r="A2" s="82"/>
      <c r="B2" s="82"/>
      <c r="C2" s="82"/>
      <c r="D2" s="82"/>
      <c r="E2" s="82"/>
      <c r="F2" s="82"/>
      <c r="G2" s="82"/>
      <c r="H2" s="82"/>
      <c r="I2" s="82"/>
      <c r="J2" s="82"/>
      <c r="K2" s="82"/>
      <c r="L2" s="82"/>
    </row>
    <row r="3" spans="1:12" x14ac:dyDescent="0.25">
      <c r="A3" s="82"/>
      <c r="B3" s="82"/>
      <c r="C3" s="82"/>
      <c r="D3" s="82"/>
      <c r="E3" s="82"/>
      <c r="F3" s="84" t="s">
        <v>563</v>
      </c>
      <c r="G3" s="82"/>
      <c r="H3" s="82"/>
      <c r="I3" s="82"/>
      <c r="J3" s="84" t="s">
        <v>564</v>
      </c>
      <c r="K3" s="85" t="s">
        <v>565</v>
      </c>
      <c r="L3" s="86">
        <f>C4</f>
        <v>2019</v>
      </c>
    </row>
    <row r="4" spans="1:12" x14ac:dyDescent="0.25">
      <c r="A4" s="82"/>
      <c r="B4" s="85" t="s">
        <v>566</v>
      </c>
      <c r="C4" s="87">
        <f>DashBoardFinanceiroAnual!K2</f>
        <v>2019</v>
      </c>
      <c r="D4" s="82"/>
      <c r="E4" s="82"/>
      <c r="F4" s="88" t="s">
        <v>567</v>
      </c>
      <c r="G4" s="89" t="s">
        <v>568</v>
      </c>
      <c r="H4" s="88" t="s">
        <v>569</v>
      </c>
      <c r="I4" s="82"/>
      <c r="J4" s="90" t="str">
        <f>DashBoardFinanceiroAnual!K4</f>
        <v>Livros</v>
      </c>
      <c r="K4" s="88" t="s">
        <v>570</v>
      </c>
      <c r="L4" s="88" t="s">
        <v>567</v>
      </c>
    </row>
    <row r="5" spans="1:12" x14ac:dyDescent="0.25">
      <c r="A5" s="82"/>
      <c r="B5" s="82"/>
      <c r="C5" s="82"/>
      <c r="D5" s="82"/>
      <c r="E5" s="82"/>
      <c r="F5" s="91">
        <v>1</v>
      </c>
      <c r="G5" s="92">
        <f>SUMIFS(TbRegistroSaídas[Valor],TbRegistroSaídas[Data do Caixa Realizado],"",TbRegistroSaídas[Ano Previsto],$C$4,TbRegistroSaídas[Mês Previsto],F5)</f>
        <v>3042</v>
      </c>
      <c r="H5" s="92">
        <f>SUMIFS(TbRegistroEntradas[Valor],TbRegistroEntradas[Data do Caixa Realizado],"",TbRegistroEntradas[Ano Previsto],$C$4,TbRegistroEntradas[Mês Previsto],F5)</f>
        <v>1209</v>
      </c>
      <c r="I5" s="82"/>
      <c r="J5" s="92">
        <f>SUMIFS(TbRegistroEntradas[Valor],TbRegistroEntradas[Conta Nível 2],$J$4,TbRegistroEntradas[Ano Competência],$L$3,TbRegistroEntradas[Mês Competência],F5)</f>
        <v>6759</v>
      </c>
      <c r="K5" s="92">
        <f>IF(J5=0,NA(),J5)</f>
        <v>6759</v>
      </c>
      <c r="L5" s="93" t="s">
        <v>571</v>
      </c>
    </row>
    <row r="6" spans="1:12" x14ac:dyDescent="0.25">
      <c r="A6" s="82"/>
      <c r="B6" s="82"/>
      <c r="C6" s="82"/>
      <c r="D6" s="82"/>
      <c r="E6" s="82"/>
      <c r="F6" s="82">
        <v>2</v>
      </c>
      <c r="G6" s="94">
        <f>SUMIFS(TbRegistroSaídas[Valor],TbRegistroSaídas[Data do Caixa Realizado],"",TbRegistroSaídas[Ano Previsto],$C$4,TbRegistroSaídas[Mês Previsto],F6)</f>
        <v>7524</v>
      </c>
      <c r="H6" s="94">
        <f>SUMIFS(TbRegistroEntradas[Valor],TbRegistroEntradas[Data do Caixa Realizado],"",TbRegistroEntradas[Ano Previsto],$C$4,TbRegistroEntradas[Mês Previsto],F6)</f>
        <v>1992</v>
      </c>
      <c r="I6" s="82"/>
      <c r="J6" s="94">
        <f>SUMIFS(TbRegistroEntradas[Valor],TbRegistroEntradas[Conta Nível 2],$J$4,TbRegistroEntradas[Ano Competência],$L$3,TbRegistroEntradas[Mês Competência],F6)</f>
        <v>8187</v>
      </c>
      <c r="K6" s="94">
        <f t="shared" ref="K6:K16" si="0">IF(J6=0,NA(),J6)</f>
        <v>8187</v>
      </c>
      <c r="L6" s="85" t="s">
        <v>572</v>
      </c>
    </row>
    <row r="7" spans="1:12" x14ac:dyDescent="0.25">
      <c r="A7" s="82"/>
      <c r="B7" s="84" t="s">
        <v>573</v>
      </c>
      <c r="C7" s="82"/>
      <c r="D7" s="82"/>
      <c r="E7" s="82"/>
      <c r="F7" s="82">
        <v>3</v>
      </c>
      <c r="G7" s="94">
        <f>SUMIFS(TbRegistroSaídas[Valor],TbRegistroSaídas[Data do Caixa Realizado],"",TbRegistroSaídas[Ano Previsto],$C$4,TbRegistroSaídas[Mês Previsto],F7)</f>
        <v>0</v>
      </c>
      <c r="H7" s="94">
        <f>SUMIFS(TbRegistroEntradas[Valor],TbRegistroEntradas[Data do Caixa Realizado],"",TbRegistroEntradas[Ano Previsto],$C$4,TbRegistroEntradas[Mês Previsto],F7)</f>
        <v>0</v>
      </c>
      <c r="I7" s="82"/>
      <c r="J7" s="94">
        <f>SUMIFS(TbRegistroEntradas[Valor],TbRegistroEntradas[Conta Nível 2],$J$4,TbRegistroEntradas[Ano Competência],$L$3,TbRegistroEntradas[Mês Competência],F7)</f>
        <v>5918</v>
      </c>
      <c r="K7" s="94">
        <f t="shared" si="0"/>
        <v>5918</v>
      </c>
      <c r="L7" s="85" t="s">
        <v>574</v>
      </c>
    </row>
    <row r="8" spans="1:12" x14ac:dyDescent="0.25">
      <c r="A8" s="82"/>
      <c r="B8" s="91" t="s">
        <v>601</v>
      </c>
      <c r="C8" s="95">
        <f>SUMIFS(TbRegistroEntradas[Valor],TbRegistroEntradas[Ano Caixa],"&lt;"&amp;C4,TbRegistroEntradas[Ano Caixa],"&lt;&gt;0")-SUMIFS(TbRegistroSaídas[Valor],TbRegistroSaídas[Ano Caixa],"&lt;"&amp;C4,TbRegistroSaídas[Ano Caixa],"&lt;&gt;0")</f>
        <v>55108</v>
      </c>
      <c r="D8" s="82"/>
      <c r="E8" s="82"/>
      <c r="F8" s="82">
        <v>4</v>
      </c>
      <c r="G8" s="94">
        <f>SUMIFS(TbRegistroSaídas[Valor],TbRegistroSaídas[Data do Caixa Realizado],"",TbRegistroSaídas[Ano Previsto],$C$4,TbRegistroSaídas[Mês Previsto],F8)</f>
        <v>3690</v>
      </c>
      <c r="H8" s="94">
        <f>SUMIFS(TbRegistroEntradas[Valor],TbRegistroEntradas[Data do Caixa Realizado],"",TbRegistroEntradas[Ano Previsto],$C$4,TbRegistroEntradas[Mês Previsto],F8)</f>
        <v>4797</v>
      </c>
      <c r="I8" s="82"/>
      <c r="J8" s="94">
        <f>SUMIFS(TbRegistroEntradas[Valor],TbRegistroEntradas[Conta Nível 2],$J$4,TbRegistroEntradas[Ano Competência],$L$3,TbRegistroEntradas[Mês Competência],F8)</f>
        <v>1620</v>
      </c>
      <c r="K8" s="94">
        <f t="shared" si="0"/>
        <v>1620</v>
      </c>
      <c r="L8" s="85" t="s">
        <v>576</v>
      </c>
    </row>
    <row r="9" spans="1:12" x14ac:dyDescent="0.25">
      <c r="A9" s="82"/>
      <c r="B9" s="82" t="s">
        <v>575</v>
      </c>
      <c r="C9" s="96">
        <f>SUMIFS(TbRegistroEntradas[Valor],TbRegistroEntradas[Ano Caixa],"="&amp;C4)</f>
        <v>129286</v>
      </c>
      <c r="D9" s="82"/>
      <c r="E9" s="82"/>
      <c r="F9" s="82">
        <v>5</v>
      </c>
      <c r="G9" s="94">
        <f>SUMIFS(TbRegistroSaídas[Valor],TbRegistroSaídas[Data do Caixa Realizado],"",TbRegistroSaídas[Ano Previsto],$C$4,TbRegistroSaídas[Mês Previsto],F9)</f>
        <v>7220</v>
      </c>
      <c r="H9" s="94">
        <f>SUMIFS(TbRegistroEntradas[Valor],TbRegistroEntradas[Data do Caixa Realizado],"",TbRegistroEntradas[Ano Previsto],$C$4,TbRegistroEntradas[Mês Previsto],F9)</f>
        <v>6672</v>
      </c>
      <c r="I9" s="82"/>
      <c r="J9" s="94">
        <f>SUMIFS(TbRegistroEntradas[Valor],TbRegistroEntradas[Conta Nível 2],$J$4,TbRegistroEntradas[Ano Competência],$L$3,TbRegistroEntradas[Mês Competência],F9)</f>
        <v>2194</v>
      </c>
      <c r="K9" s="94">
        <f t="shared" si="0"/>
        <v>2194</v>
      </c>
      <c r="L9" s="85" t="s">
        <v>578</v>
      </c>
    </row>
    <row r="10" spans="1:12" x14ac:dyDescent="0.25">
      <c r="A10" s="82"/>
      <c r="B10" s="82" t="s">
        <v>577</v>
      </c>
      <c r="C10" s="96">
        <f>SUMIFS(TbRegistroSaídas[Valor],TbRegistroSaídas[Ano Caixa],"="&amp;C4)</f>
        <v>163337</v>
      </c>
      <c r="D10" s="82"/>
      <c r="E10" s="82"/>
      <c r="F10" s="82">
        <v>6</v>
      </c>
      <c r="G10" s="94">
        <f>SUMIFS(TbRegistroSaídas[Valor],TbRegistroSaídas[Data do Caixa Realizado],"",TbRegistroSaídas[Ano Previsto],$C$4,TbRegistroSaídas[Mês Previsto],F10)</f>
        <v>3086</v>
      </c>
      <c r="H10" s="94">
        <f>SUMIFS(TbRegistroEntradas[Valor],TbRegistroEntradas[Data do Caixa Realizado],"",TbRegistroEntradas[Ano Previsto],$C$4,TbRegistroEntradas[Mês Previsto],F10)</f>
        <v>1482</v>
      </c>
      <c r="I10" s="82"/>
      <c r="J10" s="94">
        <f>SUMIFS(TbRegistroEntradas[Valor],TbRegistroEntradas[Conta Nível 2],$J$4,TbRegistroEntradas[Ano Competência],$L$3,TbRegistroEntradas[Mês Competência],F10)</f>
        <v>1482</v>
      </c>
      <c r="K10" s="94">
        <f t="shared" si="0"/>
        <v>1482</v>
      </c>
      <c r="L10" s="85" t="s">
        <v>580</v>
      </c>
    </row>
    <row r="11" spans="1:12" x14ac:dyDescent="0.25">
      <c r="A11" s="82"/>
      <c r="B11" s="97" t="s">
        <v>579</v>
      </c>
      <c r="C11" s="98">
        <f>C9+C8-C10</f>
        <v>21057</v>
      </c>
      <c r="D11" s="82"/>
      <c r="E11" s="82"/>
      <c r="F11" s="82">
        <v>7</v>
      </c>
      <c r="G11" s="94">
        <f>SUMIFS(TbRegistroSaídas[Valor],TbRegistroSaídas[Data do Caixa Realizado],"",TbRegistroSaídas[Ano Previsto],$C$4,TbRegistroSaídas[Mês Previsto],F11)</f>
        <v>0</v>
      </c>
      <c r="H11" s="94">
        <f>SUMIFS(TbRegistroEntradas[Valor],TbRegistroEntradas[Data do Caixa Realizado],"",TbRegistroEntradas[Ano Previsto],$C$4,TbRegistroEntradas[Mês Previsto],F11)</f>
        <v>4535</v>
      </c>
      <c r="I11" s="82"/>
      <c r="J11" s="94">
        <f>SUMIFS(TbRegistroEntradas[Valor],TbRegistroEntradas[Conta Nível 2],$J$4,TbRegistroEntradas[Ano Competência],$L$3,TbRegistroEntradas[Mês Competência],F11)</f>
        <v>0</v>
      </c>
      <c r="K11" s="94" t="e">
        <f t="shared" si="0"/>
        <v>#N/A</v>
      </c>
      <c r="L11" s="85" t="s">
        <v>581</v>
      </c>
    </row>
    <row r="12" spans="1:12" x14ac:dyDescent="0.25">
      <c r="A12" s="82"/>
      <c r="B12" s="82"/>
      <c r="C12" s="82"/>
      <c r="D12" s="82"/>
      <c r="E12" s="82"/>
      <c r="F12" s="82">
        <v>8</v>
      </c>
      <c r="G12" s="94">
        <f>SUMIFS(TbRegistroSaídas[Valor],TbRegistroSaídas[Data do Caixa Realizado],"",TbRegistroSaídas[Ano Previsto],$C$4,TbRegistroSaídas[Mês Previsto],F12)</f>
        <v>2759</v>
      </c>
      <c r="H12" s="94">
        <f>SUMIFS(TbRegistroEntradas[Valor],TbRegistroEntradas[Data do Caixa Realizado],"",TbRegistroEntradas[Ano Previsto],$C$4,TbRegistroEntradas[Mês Previsto],F12)</f>
        <v>0</v>
      </c>
      <c r="I12" s="82"/>
      <c r="J12" s="94">
        <f>SUMIFS(TbRegistroEntradas[Valor],TbRegistroEntradas[Conta Nível 2],$J$4,TbRegistroEntradas[Ano Competência],$L$3,TbRegistroEntradas[Mês Competência],F12)</f>
        <v>0</v>
      </c>
      <c r="K12" s="94" t="e">
        <f t="shared" si="0"/>
        <v>#N/A</v>
      </c>
      <c r="L12" s="85" t="s">
        <v>583</v>
      </c>
    </row>
    <row r="13" spans="1:12" x14ac:dyDescent="0.25">
      <c r="A13" s="82"/>
      <c r="B13" s="99" t="s">
        <v>582</v>
      </c>
      <c r="C13" s="99"/>
      <c r="D13" s="95">
        <f>SUMIFS(TbRegistroSaídas[Valor],TbRegistroSaídas[Data do Caixa Realizado],"",TbRegistroSaídas[Ano Previsto],C4)</f>
        <v>27321</v>
      </c>
      <c r="E13" s="82"/>
      <c r="F13" s="82">
        <v>9</v>
      </c>
      <c r="G13" s="94">
        <f>SUMIFS(TbRegistroSaídas[Valor],TbRegistroSaídas[Data do Caixa Realizado],"",TbRegistroSaídas[Ano Previsto],$C$4,TbRegistroSaídas[Mês Previsto],F13)</f>
        <v>0</v>
      </c>
      <c r="H13" s="94">
        <f>SUMIFS(TbRegistroEntradas[Valor],TbRegistroEntradas[Data do Caixa Realizado],"",TbRegistroEntradas[Ano Previsto],$C$4,TbRegistroEntradas[Mês Previsto],F13)</f>
        <v>0</v>
      </c>
      <c r="I13" s="82"/>
      <c r="J13" s="94">
        <f>SUMIFS(TbRegistroEntradas[Valor],TbRegistroEntradas[Conta Nível 2],$J$4,TbRegistroEntradas[Ano Competência],$L$3,TbRegistroEntradas[Mês Competência],F13)</f>
        <v>0</v>
      </c>
      <c r="K13" s="94" t="e">
        <f t="shared" si="0"/>
        <v>#N/A</v>
      </c>
      <c r="L13" s="85" t="s">
        <v>585</v>
      </c>
    </row>
    <row r="14" spans="1:12" x14ac:dyDescent="0.25">
      <c r="A14" s="82"/>
      <c r="B14" s="100" t="s">
        <v>584</v>
      </c>
      <c r="C14" s="100"/>
      <c r="D14" s="101">
        <f>SUMIFS(TbRegistroEntradas[Valor],TbRegistroEntradas[Data do Caixa Realizado],"",TbRegistroEntradas[Ano Previsto],C4)</f>
        <v>20687</v>
      </c>
      <c r="E14" s="82"/>
      <c r="F14" s="82">
        <v>10</v>
      </c>
      <c r="G14" s="94">
        <f>SUMIFS(TbRegistroSaídas[Valor],TbRegistroSaídas[Data do Caixa Realizado],"",TbRegistroSaídas[Ano Previsto],$C$4,TbRegistroSaídas[Mês Previsto],F14)</f>
        <v>0</v>
      </c>
      <c r="H14" s="94">
        <f>SUMIFS(TbRegistroEntradas[Valor],TbRegistroEntradas[Data do Caixa Realizado],"",TbRegistroEntradas[Ano Previsto],$C$4,TbRegistroEntradas[Mês Previsto],F14)</f>
        <v>0</v>
      </c>
      <c r="I14" s="82"/>
      <c r="J14" s="94">
        <f>SUMIFS(TbRegistroEntradas[Valor],TbRegistroEntradas[Conta Nível 2],$J$4,TbRegistroEntradas[Ano Competência],$L$3,TbRegistroEntradas[Mês Competência],F14)</f>
        <v>0</v>
      </c>
      <c r="K14" s="94" t="e">
        <f t="shared" si="0"/>
        <v>#N/A</v>
      </c>
      <c r="L14" s="85" t="s">
        <v>586</v>
      </c>
    </row>
    <row r="15" spans="1:12" x14ac:dyDescent="0.25">
      <c r="A15" s="82"/>
      <c r="B15" s="82"/>
      <c r="C15" s="82"/>
      <c r="D15" s="82"/>
      <c r="E15" s="82"/>
      <c r="F15" s="82">
        <v>11</v>
      </c>
      <c r="G15" s="94">
        <f>SUMIFS(TbRegistroSaídas[Valor],TbRegistroSaídas[Data do Caixa Realizado],"",TbRegistroSaídas[Ano Previsto],$C$4,TbRegistroSaídas[Mês Previsto],F15)</f>
        <v>0</v>
      </c>
      <c r="H15" s="94">
        <f>SUMIFS(TbRegistroEntradas[Valor],TbRegistroEntradas[Data do Caixa Realizado],"",TbRegistroEntradas[Ano Previsto],$C$4,TbRegistroEntradas[Mês Previsto],F15)</f>
        <v>0</v>
      </c>
      <c r="I15" s="82"/>
      <c r="J15" s="94">
        <f>SUMIFS(TbRegistroEntradas[Valor],TbRegistroEntradas[Conta Nível 2],$J$4,TbRegistroEntradas[Ano Competência],$L$3,TbRegistroEntradas[Mês Competência],F15)</f>
        <v>0</v>
      </c>
      <c r="K15" s="94" t="e">
        <f t="shared" si="0"/>
        <v>#N/A</v>
      </c>
      <c r="L15" s="85" t="s">
        <v>587</v>
      </c>
    </row>
    <row r="16" spans="1:12" x14ac:dyDescent="0.25">
      <c r="A16" s="82"/>
      <c r="B16" s="82"/>
      <c r="C16" s="82"/>
      <c r="D16" s="82"/>
      <c r="E16" s="82"/>
      <c r="F16" s="97">
        <v>12</v>
      </c>
      <c r="G16" s="102">
        <f>SUMIFS(TbRegistroSaídas[Valor],TbRegistroSaídas[Data do Caixa Realizado],"",TbRegistroSaídas[Ano Previsto],$C$4,TbRegistroSaídas[Mês Previsto],F16)</f>
        <v>0</v>
      </c>
      <c r="H16" s="102">
        <f>SUMIFS(TbRegistroEntradas[Valor],TbRegistroEntradas[Data do Caixa Realizado],"",TbRegistroEntradas[Ano Previsto],$C$4,TbRegistroEntradas[Mês Previsto],F16)</f>
        <v>0</v>
      </c>
      <c r="I16" s="82"/>
      <c r="J16" s="102">
        <f>SUMIFS(TbRegistroEntradas[Valor],TbRegistroEntradas[Conta Nível 2],$J$4,TbRegistroEntradas[Ano Competência],$L$3,TbRegistroEntradas[Mês Competência],F16)</f>
        <v>0</v>
      </c>
      <c r="K16" s="102" t="e">
        <f t="shared" si="0"/>
        <v>#N/A</v>
      </c>
      <c r="L16" s="103" t="s">
        <v>588</v>
      </c>
    </row>
    <row r="17" spans="1:12" x14ac:dyDescent="0.25">
      <c r="A17" s="82"/>
      <c r="B17" s="82"/>
      <c r="C17" s="82"/>
      <c r="D17" s="82"/>
      <c r="E17" s="82"/>
      <c r="F17" s="82"/>
      <c r="G17" s="82"/>
      <c r="H17" s="82"/>
      <c r="I17" s="82"/>
      <c r="J17" s="82"/>
      <c r="K17" s="82"/>
      <c r="L17" s="82"/>
    </row>
    <row r="18" spans="1:12" x14ac:dyDescent="0.25">
      <c r="A18" s="82"/>
      <c r="B18" s="82"/>
      <c r="C18" s="82"/>
      <c r="D18" s="82"/>
      <c r="E18" s="82"/>
      <c r="F18" s="82"/>
      <c r="G18" s="82"/>
      <c r="H18" s="82"/>
      <c r="I18" s="82"/>
      <c r="J18" s="82"/>
      <c r="K18" s="82"/>
      <c r="L18" s="82"/>
    </row>
    <row r="19" spans="1:12" x14ac:dyDescent="0.25">
      <c r="A19" s="82"/>
      <c r="B19" s="84" t="s">
        <v>589</v>
      </c>
      <c r="C19" s="82"/>
      <c r="D19" s="82"/>
      <c r="E19" s="104"/>
      <c r="F19" s="82"/>
      <c r="G19" s="82"/>
      <c r="H19" s="82"/>
      <c r="I19" s="82"/>
      <c r="J19" s="82"/>
      <c r="K19" s="82"/>
      <c r="L19" s="82"/>
    </row>
    <row r="20" spans="1:12" x14ac:dyDescent="0.25">
      <c r="A20" s="82"/>
      <c r="B20" s="88" t="s">
        <v>590</v>
      </c>
      <c r="C20" s="89" t="s">
        <v>591</v>
      </c>
      <c r="D20" s="89" t="s">
        <v>592</v>
      </c>
      <c r="E20" s="89" t="s">
        <v>593</v>
      </c>
      <c r="F20" s="82"/>
      <c r="G20" s="82"/>
      <c r="H20" s="82"/>
      <c r="I20" s="82"/>
      <c r="J20" s="82"/>
      <c r="K20" s="82"/>
      <c r="L20" s="82"/>
    </row>
    <row r="21" spans="1:12" x14ac:dyDescent="0.25">
      <c r="A21" s="82"/>
      <c r="B21" s="105">
        <f>C4</f>
        <v>2019</v>
      </c>
      <c r="C21" s="106">
        <f>SUMIFS(TbRegistroEntradas[Valor],TbRegistroEntradas[Ano Competência],B21,TbRegistroEntradas[Venda à Vista],"Vista")</f>
        <v>43768</v>
      </c>
      <c r="D21" s="106">
        <f>SUMIFS(TbRegistroEntradas[Valor],TbRegistroEntradas[Ano Competência],B21,TbRegistroEntradas[Venda à Vista],"Prazo")</f>
        <v>86891</v>
      </c>
      <c r="E21" s="106">
        <f>C21+D21</f>
        <v>130659</v>
      </c>
      <c r="F21" s="82"/>
      <c r="G21" s="82"/>
      <c r="H21" s="82"/>
      <c r="I21" s="82"/>
      <c r="J21" s="82"/>
      <c r="K21" s="82"/>
      <c r="L21" s="82"/>
    </row>
    <row r="22" spans="1:12" x14ac:dyDescent="0.25">
      <c r="A22" s="82"/>
      <c r="B22" s="82"/>
      <c r="C22" s="82"/>
      <c r="D22" s="82"/>
      <c r="E22" s="82"/>
      <c r="F22" s="82"/>
      <c r="G22" s="82"/>
      <c r="H22" s="82"/>
      <c r="I22" s="82"/>
      <c r="J22" s="82"/>
      <c r="K22" s="82"/>
      <c r="L22" s="82"/>
    </row>
    <row r="23" spans="1:12" x14ac:dyDescent="0.25">
      <c r="A23" s="82"/>
      <c r="B23" s="82"/>
      <c r="C23" s="82"/>
      <c r="D23" s="82"/>
      <c r="E23" s="82"/>
      <c r="F23" s="82"/>
      <c r="G23" s="82"/>
      <c r="H23" s="82"/>
      <c r="I23" s="82"/>
      <c r="J23" s="82"/>
      <c r="K23" s="82"/>
      <c r="L23" s="82"/>
    </row>
    <row r="24" spans="1:12" x14ac:dyDescent="0.25">
      <c r="A24" s="82"/>
      <c r="B24" s="84" t="s">
        <v>594</v>
      </c>
      <c r="C24" s="82"/>
      <c r="D24" s="82"/>
      <c r="E24" s="82"/>
      <c r="F24" s="82"/>
      <c r="G24" s="84" t="s">
        <v>595</v>
      </c>
      <c r="H24" s="82"/>
      <c r="I24" s="82"/>
      <c r="J24" s="82"/>
      <c r="K24" s="82"/>
      <c r="L24" s="82"/>
    </row>
    <row r="25" spans="1:12" x14ac:dyDescent="0.25">
      <c r="A25" s="82"/>
      <c r="B25" s="88" t="s">
        <v>590</v>
      </c>
      <c r="C25" s="89" t="s">
        <v>596</v>
      </c>
      <c r="D25" s="89" t="s">
        <v>558</v>
      </c>
      <c r="E25" s="89" t="s">
        <v>597</v>
      </c>
      <c r="F25" s="82"/>
      <c r="G25" s="88" t="s">
        <v>590</v>
      </c>
      <c r="H25" s="89" t="s">
        <v>596</v>
      </c>
      <c r="I25" s="89" t="s">
        <v>558</v>
      </c>
      <c r="J25" s="89" t="s">
        <v>597</v>
      </c>
      <c r="K25" s="82"/>
      <c r="L25" s="82"/>
    </row>
    <row r="26" spans="1:12" x14ac:dyDescent="0.25">
      <c r="A26" s="82"/>
      <c r="B26" s="105">
        <f>C4</f>
        <v>2019</v>
      </c>
      <c r="C26" s="107">
        <f ca="1">COUNTIFS(TbRegistroEntradas[Ano Competência],B26,TbRegistroEntradas[Dias de Atraso],"&gt;0")</f>
        <v>17</v>
      </c>
      <c r="D26" s="107">
        <f ca="1">SUMIFS(TbRegistroEntradas[Dias de Atraso],TbRegistroEntradas[Ano Competência],B26,TbRegistroEntradas[Dias de Atraso],"&gt;0")</f>
        <v>12794</v>
      </c>
      <c r="E26" s="107">
        <f ca="1">D26/C26</f>
        <v>752.58823529411768</v>
      </c>
      <c r="F26" s="82"/>
      <c r="G26" s="105">
        <f>C4</f>
        <v>2019</v>
      </c>
      <c r="H26" s="107">
        <f ca="1">COUNTIFS(TbRegistroSaídas[Ano Competência],B26,TbRegistroSaídas[Dias de Atraso],"&gt;0")</f>
        <v>12</v>
      </c>
      <c r="I26" s="107">
        <f ca="1">SUMIFS(TbRegistroSaídas[Dias de Atraso],TbRegistroSaídas[Ano Competência],B26,TbRegistroSaídas[Dias de Atraso],"&gt;0")</f>
        <v>14348.222609378754</v>
      </c>
      <c r="J26" s="107">
        <f ca="1">I26/H26</f>
        <v>1195.6852174482294</v>
      </c>
      <c r="K26" s="82"/>
      <c r="L26" s="82"/>
    </row>
    <row r="27" spans="1:12" x14ac:dyDescent="0.25">
      <c r="A27" s="82"/>
      <c r="B27" s="82"/>
      <c r="C27" s="82"/>
      <c r="D27" s="82"/>
      <c r="E27" s="82"/>
      <c r="F27" s="82"/>
      <c r="G27" s="82"/>
      <c r="H27" s="82"/>
      <c r="I27" s="82"/>
      <c r="J27" s="82"/>
      <c r="K27" s="82"/>
      <c r="L27" s="82"/>
    </row>
    <row r="28" spans="1:12" x14ac:dyDescent="0.25">
      <c r="A28" s="82"/>
      <c r="B28" s="82"/>
      <c r="C28" s="82"/>
      <c r="D28" s="82"/>
      <c r="E28" s="82"/>
      <c r="F28" s="82"/>
      <c r="G28" s="82"/>
      <c r="H28" s="82"/>
      <c r="I28" s="82"/>
      <c r="J28" s="82"/>
      <c r="K28" s="82"/>
      <c r="L28" s="82"/>
    </row>
    <row r="29" spans="1:12" x14ac:dyDescent="0.25">
      <c r="A29" s="82"/>
      <c r="B29" s="84" t="s">
        <v>598</v>
      </c>
      <c r="C29" s="82"/>
      <c r="D29" s="82"/>
      <c r="E29" s="82"/>
      <c r="F29" s="82"/>
      <c r="G29" s="84" t="s">
        <v>599</v>
      </c>
      <c r="H29" s="108">
        <f>C4</f>
        <v>2019</v>
      </c>
      <c r="I29" s="82"/>
      <c r="J29" s="82"/>
      <c r="K29" s="82"/>
      <c r="L29" s="82"/>
    </row>
    <row r="30" spans="1:12" x14ac:dyDescent="0.25">
      <c r="A30" s="82"/>
      <c r="B30" s="109" t="s">
        <v>590</v>
      </c>
      <c r="C30" s="93" t="s">
        <v>575</v>
      </c>
      <c r="D30" s="93" t="s">
        <v>577</v>
      </c>
      <c r="E30" s="93" t="s">
        <v>600</v>
      </c>
      <c r="F30" s="82"/>
      <c r="G30" s="88" t="s">
        <v>567</v>
      </c>
      <c r="H30" s="110" t="str">
        <f>DashBoardFinanceiroAnual!K14</f>
        <v>Vestuário</v>
      </c>
      <c r="I30" s="82"/>
      <c r="J30" s="82"/>
      <c r="K30" s="82"/>
      <c r="L30" s="82"/>
    </row>
    <row r="31" spans="1:12" x14ac:dyDescent="0.25">
      <c r="A31" s="82"/>
      <c r="B31" s="121">
        <f>C4</f>
        <v>2019</v>
      </c>
      <c r="C31" s="111">
        <f>SUMIFS(TbRegistroEntradas[Valor],TbRegistroEntradas[Ano Competência],B31)</f>
        <v>130659</v>
      </c>
      <c r="D31" s="111">
        <f>SUMIFS(TbRegistroSaídas[Valor],TbRegistroSaídas[Ano Competência],B31)</f>
        <v>169790</v>
      </c>
      <c r="E31" s="112">
        <f>C31-D31</f>
        <v>-39131</v>
      </c>
      <c r="F31" s="82"/>
      <c r="G31" s="82">
        <v>1</v>
      </c>
      <c r="H31" s="94">
        <f>SUMIFS(TbRegistroSaídas[Valor],TbRegistroSaídas[Conta Nível 2],$H$30,TbRegistroSaídas[Ano Competência],$H$29,TbRegistroSaídas[Mês Competência],G31)</f>
        <v>14690</v>
      </c>
      <c r="I31" s="82"/>
      <c r="J31" s="82"/>
      <c r="K31" s="82"/>
      <c r="L31" s="82"/>
    </row>
    <row r="32" spans="1:12" x14ac:dyDescent="0.25">
      <c r="A32" s="82"/>
      <c r="B32" s="82"/>
      <c r="C32" s="82"/>
      <c r="D32" s="82"/>
      <c r="E32" s="82"/>
      <c r="F32" s="82"/>
      <c r="G32" s="82">
        <v>2</v>
      </c>
      <c r="H32" s="94">
        <f>SUMIFS(TbRegistroSaídas[Valor],TbRegistroSaídas[Conta Nível 2],$H$30,TbRegistroSaídas[Ano Competência],$H$29,TbRegistroSaídas[Mês Competência],G32)</f>
        <v>6991</v>
      </c>
      <c r="I32" s="82"/>
      <c r="J32" s="82"/>
      <c r="K32" s="82"/>
      <c r="L32" s="82"/>
    </row>
    <row r="33" spans="1:12" x14ac:dyDescent="0.25">
      <c r="A33" s="82"/>
      <c r="B33" s="82"/>
      <c r="C33" s="82"/>
      <c r="D33" s="82"/>
      <c r="E33" s="82"/>
      <c r="F33" s="82"/>
      <c r="G33" s="82">
        <v>3</v>
      </c>
      <c r="H33" s="94">
        <f>SUMIFS(TbRegistroSaídas[Valor],TbRegistroSaídas[Conta Nível 2],$H$30,TbRegistroSaídas[Ano Competência],$H$29,TbRegistroSaídas[Mês Competência],G33)</f>
        <v>8219</v>
      </c>
      <c r="I33" s="82"/>
      <c r="J33" s="82"/>
      <c r="K33" s="82"/>
      <c r="L33" s="82"/>
    </row>
    <row r="34" spans="1:12" x14ac:dyDescent="0.25">
      <c r="A34" s="82"/>
      <c r="B34" s="82"/>
      <c r="C34" s="82"/>
      <c r="D34" s="82"/>
      <c r="E34" s="82"/>
      <c r="F34" s="82"/>
      <c r="G34" s="82">
        <v>4</v>
      </c>
      <c r="H34" s="94">
        <f>SUMIFS(TbRegistroSaídas[Valor],TbRegistroSaídas[Conta Nível 2],$H$30,TbRegistroSaídas[Ano Competência],$H$29,TbRegistroSaídas[Mês Competência],G34)</f>
        <v>19692</v>
      </c>
      <c r="I34" s="82"/>
      <c r="J34" s="82"/>
      <c r="K34" s="82"/>
      <c r="L34" s="82"/>
    </row>
    <row r="35" spans="1:12" x14ac:dyDescent="0.25">
      <c r="A35" s="82"/>
      <c r="B35" s="82"/>
      <c r="C35" s="82"/>
      <c r="D35" s="82"/>
      <c r="E35" s="82"/>
      <c r="F35" s="82"/>
      <c r="G35" s="82">
        <v>5</v>
      </c>
      <c r="H35" s="94">
        <f>SUMIFS(TbRegistroSaídas[Valor],TbRegistroSaídas[Conta Nível 2],$H$30,TbRegistroSaídas[Ano Competência],$H$29,TbRegistroSaídas[Mês Competência],G35)</f>
        <v>16406</v>
      </c>
      <c r="I35" s="82"/>
      <c r="J35" s="82"/>
      <c r="K35" s="82"/>
      <c r="L35" s="82"/>
    </row>
    <row r="36" spans="1:12" x14ac:dyDescent="0.25">
      <c r="A36" s="82"/>
      <c r="B36" s="82"/>
      <c r="C36" s="82"/>
      <c r="D36" s="82"/>
      <c r="E36" s="82"/>
      <c r="F36" s="82"/>
      <c r="G36" s="82">
        <v>6</v>
      </c>
      <c r="H36" s="94">
        <f>SUMIFS(TbRegistroSaídas[Valor],TbRegistroSaídas[Conta Nível 2],$H$30,TbRegistroSaídas[Ano Competência],$H$29,TbRegistroSaídas[Mês Competência],G36)</f>
        <v>5157</v>
      </c>
      <c r="I36" s="82"/>
      <c r="J36" s="82"/>
      <c r="K36" s="82"/>
      <c r="L36" s="82"/>
    </row>
    <row r="37" spans="1:12" x14ac:dyDescent="0.25">
      <c r="A37" s="82"/>
      <c r="B37" s="82"/>
      <c r="C37" s="82"/>
      <c r="D37" s="82"/>
      <c r="E37" s="82"/>
      <c r="F37" s="82"/>
      <c r="G37" s="82">
        <v>7</v>
      </c>
      <c r="H37" s="94">
        <f>SUMIFS(TbRegistroSaídas[Valor],TbRegistroSaídas[Conta Nível 2],$H$30,TbRegistroSaídas[Ano Competência],$H$29,TbRegistroSaídas[Mês Competência],G37)</f>
        <v>0</v>
      </c>
      <c r="I37" s="82"/>
      <c r="J37" s="82"/>
      <c r="K37" s="82"/>
      <c r="L37" s="82"/>
    </row>
    <row r="38" spans="1:12" x14ac:dyDescent="0.25">
      <c r="A38" s="82"/>
      <c r="B38" s="82"/>
      <c r="C38" s="82"/>
      <c r="D38" s="82"/>
      <c r="E38" s="82"/>
      <c r="F38" s="82"/>
      <c r="G38" s="82">
        <v>8</v>
      </c>
      <c r="H38" s="94">
        <f>SUMIFS(TbRegistroSaídas[Valor],TbRegistroSaídas[Conta Nível 2],$H$30,TbRegistroSaídas[Ano Competência],$H$29,TbRegistroSaídas[Mês Competência],G38)</f>
        <v>0</v>
      </c>
      <c r="I38" s="82"/>
      <c r="J38" s="82"/>
      <c r="K38" s="82"/>
      <c r="L38" s="82"/>
    </row>
    <row r="39" spans="1:12" x14ac:dyDescent="0.25">
      <c r="A39" s="82"/>
      <c r="B39" s="82"/>
      <c r="C39" s="82"/>
      <c r="D39" s="82"/>
      <c r="E39" s="82"/>
      <c r="F39" s="82"/>
      <c r="G39" s="82">
        <v>9</v>
      </c>
      <c r="H39" s="94">
        <f>SUMIFS(TbRegistroSaídas[Valor],TbRegistroSaídas[Conta Nível 2],$H$30,TbRegistroSaídas[Ano Competência],$H$29,TbRegistroSaídas[Mês Competência],G39)</f>
        <v>0</v>
      </c>
      <c r="I39" s="82"/>
      <c r="J39" s="82"/>
      <c r="K39" s="82"/>
      <c r="L39" s="82"/>
    </row>
    <row r="40" spans="1:12" x14ac:dyDescent="0.25">
      <c r="A40" s="82"/>
      <c r="B40" s="82"/>
      <c r="C40" s="82"/>
      <c r="D40" s="82"/>
      <c r="E40" s="82"/>
      <c r="F40" s="82"/>
      <c r="G40" s="82">
        <v>10</v>
      </c>
      <c r="H40" s="94">
        <f>SUMIFS(TbRegistroSaídas[Valor],TbRegistroSaídas[Conta Nível 2],$H$30,TbRegistroSaídas[Ano Competência],$H$29,TbRegistroSaídas[Mês Competência],G40)</f>
        <v>0</v>
      </c>
      <c r="I40" s="82"/>
      <c r="J40" s="82"/>
      <c r="K40" s="82"/>
      <c r="L40" s="82"/>
    </row>
    <row r="41" spans="1:12" x14ac:dyDescent="0.25">
      <c r="A41" s="82"/>
      <c r="B41" s="82"/>
      <c r="C41" s="82"/>
      <c r="D41" s="82"/>
      <c r="E41" s="82"/>
      <c r="F41" s="82"/>
      <c r="G41" s="82">
        <v>11</v>
      </c>
      <c r="H41" s="94">
        <f>SUMIFS(TbRegistroSaídas[Valor],TbRegistroSaídas[Conta Nível 2],$H$30,TbRegistroSaídas[Ano Competência],$H$29,TbRegistroSaídas[Mês Competência],G41)</f>
        <v>0</v>
      </c>
      <c r="I41" s="82"/>
      <c r="J41" s="82"/>
      <c r="K41" s="82"/>
      <c r="L41" s="82"/>
    </row>
    <row r="42" spans="1:12" x14ac:dyDescent="0.25">
      <c r="A42" s="82"/>
      <c r="B42" s="82"/>
      <c r="C42" s="82"/>
      <c r="D42" s="82"/>
      <c r="E42" s="82"/>
      <c r="F42" s="82"/>
      <c r="G42" s="97">
        <v>12</v>
      </c>
      <c r="H42" s="94">
        <f>SUMIFS(TbRegistroSaídas[Valor],TbRegistroSaídas[Conta Nível 2],$H$30,TbRegistroSaídas[Ano Competência],$H$29,TbRegistroSaídas[Mês Competência],G42)</f>
        <v>0</v>
      </c>
      <c r="I42" s="82"/>
      <c r="J42" s="82"/>
      <c r="K42" s="82"/>
      <c r="L42" s="82"/>
    </row>
    <row r="43" spans="1:12" x14ac:dyDescent="0.25">
      <c r="A43" s="82"/>
      <c r="B43" s="82"/>
      <c r="C43" s="82"/>
      <c r="D43" s="82"/>
      <c r="E43" s="82"/>
      <c r="F43" s="82"/>
      <c r="G43" s="88" t="s">
        <v>593</v>
      </c>
      <c r="H43" s="94">
        <f>SUM(H31:H42)</f>
        <v>71155</v>
      </c>
      <c r="I43" s="82"/>
      <c r="J43" s="82"/>
      <c r="K43" s="82"/>
      <c r="L43" s="82"/>
    </row>
    <row r="44" spans="1:12" x14ac:dyDescent="0.25">
      <c r="A44" s="82"/>
      <c r="B44" s="82"/>
      <c r="C44" s="82"/>
      <c r="D44" s="82"/>
      <c r="E44" s="82"/>
      <c r="F44" s="82"/>
      <c r="G44" s="82"/>
      <c r="H44" s="82"/>
      <c r="I44" s="82"/>
      <c r="J44" s="82"/>
      <c r="K44" s="82"/>
      <c r="L44" s="82"/>
    </row>
    <row r="45" spans="1:12" x14ac:dyDescent="0.25">
      <c r="A45" s="82"/>
      <c r="F45" s="82"/>
      <c r="G45" s="82"/>
      <c r="H45" s="82"/>
      <c r="I45" s="82"/>
      <c r="J45" s="82"/>
      <c r="K45" s="82"/>
      <c r="L45" s="82"/>
    </row>
  </sheetData>
  <conditionalFormatting sqref="C11">
    <cfRule type="cellIs" dxfId="0"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12</vt:i4>
      </vt:variant>
    </vt:vector>
  </HeadingPairs>
  <TitlesOfParts>
    <vt:vector size="30" baseType="lpstr">
      <vt:lpstr>Início</vt:lpstr>
      <vt:lpstr>Matriz</vt:lpstr>
      <vt:lpstr>PCEntradasN1</vt:lpstr>
      <vt:lpstr>PCEntradasN2</vt:lpstr>
      <vt:lpstr>PCSaídasN1</vt:lpstr>
      <vt:lpstr>PCSaídasN2</vt:lpstr>
      <vt:lpstr>RegistroEntradas</vt:lpstr>
      <vt:lpstr>RegistroSaídas</vt:lpstr>
      <vt:lpstr>FluxoCaixaConsolidado</vt:lpstr>
      <vt:lpstr>DetalhaReceita</vt:lpstr>
      <vt:lpstr>DetalhaDespesa</vt:lpstr>
      <vt:lpstr>ContasPagar</vt:lpstr>
      <vt:lpstr>ContasReceber</vt:lpstr>
      <vt:lpstr>ContasReceberVencidas</vt:lpstr>
      <vt:lpstr>DashBoardFinanceiroAtual</vt:lpstr>
      <vt:lpstr>DashBoardFinanceiroAtualD</vt:lpstr>
      <vt:lpstr>DashBoardFinanceiroAnual</vt:lpstr>
      <vt:lpstr>DashBoardFinanceiroAnualD</vt:lpstr>
      <vt:lpstr>DashBoardFinanceiroAtualD!PCEntradasN1_Nível_1</vt:lpstr>
      <vt:lpstr>PCEntradasN1_Nível_1</vt:lpstr>
      <vt:lpstr>DashBoardFinanceiroAtualD!PCEntradasN2_Nível_1</vt:lpstr>
      <vt:lpstr>PCEntradasN2_Nível_1</vt:lpstr>
      <vt:lpstr>DashBoardFinanceiroAtualD!PCEntradasN2_Nível_2</vt:lpstr>
      <vt:lpstr>PCEntradasN2_Nível_2</vt:lpstr>
      <vt:lpstr>DashBoardFinanceiroAtualD!PCSaídasN1_Nível_1</vt:lpstr>
      <vt:lpstr>PCSaídasN1_Nível_1</vt:lpstr>
      <vt:lpstr>DashBoardFinanceiroAtualD!PCSaídasN2_Nível_1</vt:lpstr>
      <vt:lpstr>PCSaídasN2_Nível_1</vt:lpstr>
      <vt:lpstr>DashBoardFinanceiroAtualD!PCSaídasN2_Nível_2</vt:lpstr>
      <vt:lpstr>PCSaídasN2_Nível_2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Giovany Almeida</dc:creator>
  <cp:lastModifiedBy>Giovany Almeida</cp:lastModifiedBy>
  <dcterms:created xsi:type="dcterms:W3CDTF">2024-02-23T21:26:10Z</dcterms:created>
  <dcterms:modified xsi:type="dcterms:W3CDTF">2024-03-02T21:37:31Z</dcterms:modified>
</cp:coreProperties>
</file>